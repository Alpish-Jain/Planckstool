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pish\Documents\excel applications\applications given by sir\check\"/>
    </mc:Choice>
  </mc:AlternateContent>
  <xr:revisionPtr revIDLastSave="0" documentId="13_ncr:1_{4320ADCC-3DB2-41ED-A255-449FD7C61776}" xr6:coauthVersionLast="43" xr6:coauthVersionMax="43" xr10:uidLastSave="{00000000-0000-0000-0000-000000000000}"/>
  <bookViews>
    <workbookView xWindow="-108" yWindow="-108" windowWidth="23256" windowHeight="12576" xr2:uid="{F1D3A30B-C2A8-4675-8D28-03A6F90D0457}"/>
  </bookViews>
  <sheets>
    <sheet name="Mainsheet" sheetId="1" r:id="rId1"/>
  </sheets>
  <functionGroups builtInGroupCount="19"/>
  <definedNames>
    <definedName name="Integral">Mainsheet!$O$27</definedName>
    <definedName name="LowerLim">Mainsheet!$P$11</definedName>
    <definedName name="Peak">Mainsheet!$P$17</definedName>
    <definedName name="Temperature">Mainsheet!$P$9</definedName>
    <definedName name="UpperLim">Mainsheet!$P$13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32" i="1" l="1"/>
  <c r="Q31" i="1"/>
  <c r="O31" i="1"/>
  <c r="M31" i="1"/>
  <c r="I31" i="1"/>
  <c r="K31" i="1"/>
  <c r="G31" i="1"/>
  <c r="P17" i="1" l="1"/>
  <c r="E31" i="1"/>
  <c r="P19" i="1"/>
  <c r="B245" i="1" l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P14" i="1" l="1"/>
  <c r="P12" i="1"/>
  <c r="F8" i="1" l="1"/>
  <c r="J8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47" i="1"/>
  <c r="B48" i="1"/>
  <c r="B49" i="1"/>
  <c r="B50" i="1"/>
  <c r="B51" i="1"/>
  <c r="B52" i="1"/>
  <c r="B53" i="1"/>
  <c r="B4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University of Virginia SEAS</author>
    <author xml:space="preserve"> Robert J. Ribando</author>
    <author>Scott Sinex</author>
  </authors>
  <commentList>
    <comment ref="A1" authorId="0" shapeId="0" xr:uid="{B0F6A71E-980C-4BEE-8243-83FC26422F07}">
      <text>
        <r>
          <rPr>
            <b/>
            <sz val="9"/>
            <color indexed="81"/>
            <rFont val="Tahoma"/>
            <family val="2"/>
          </rPr>
          <t>The Visual Basic for Applications (VBA) function "Planck," given the wavelength in micrometers and temperature in Kelvin,  computes the spectral blackbody emissive power.  This user-defined VBA function is used extensively in this workbook.</t>
        </r>
      </text>
    </comment>
    <comment ref="M9" authorId="1" shapeId="0" xr:uid="{D330ED93-9CAE-422A-BA49-8E88B8BB8A39}">
      <text>
        <r>
          <rPr>
            <b/>
            <sz val="9"/>
            <color indexed="81"/>
            <rFont val="Tahoma"/>
            <family val="2"/>
          </rPr>
          <t>Set desired Emitter temperature here.  The spectral BB emissive power for this temperature appears as the bright yellow line in the plot.</t>
        </r>
      </text>
    </comment>
    <comment ref="M11" authorId="1" shapeId="0" xr:uid="{72B2F350-8C0E-40EF-B9D4-4AD644ACEB98}">
      <text>
        <r>
          <rPr>
            <b/>
            <sz val="9"/>
            <color indexed="81"/>
            <rFont val="Tahoma"/>
            <family val="2"/>
          </rPr>
          <t>Lower limit used in the integral of the blackbody emissivity power below.  It will appear as the left vertical turqouise line in the plot.</t>
        </r>
      </text>
    </comment>
    <comment ref="M13" authorId="1" shapeId="0" xr:uid="{9621A941-1C98-4B10-93DB-D6F66AA3F26F}">
      <text>
        <r>
          <rPr>
            <b/>
            <sz val="9"/>
            <color indexed="81"/>
            <rFont val="Tahoma"/>
            <family val="2"/>
          </rPr>
          <t>Upper limit use in the integral of the blackbody emissive power below.  It will show as the right vertical turquoise line in the plot.</t>
        </r>
      </text>
    </comment>
    <comment ref="M17" authorId="1" shapeId="0" xr:uid="{200D0A51-3E37-4505-9D43-6691AF239DC1}">
      <text>
        <r>
          <rPr>
            <b/>
            <sz val="9"/>
            <color indexed="81"/>
            <rFont val="Tahoma"/>
            <family val="2"/>
          </rPr>
          <t>Computed from Wien's Displacement Law (lambda</t>
        </r>
        <r>
          <rPr>
            <b/>
            <vertAlign val="subscript"/>
            <sz val="9"/>
            <color indexed="81"/>
            <rFont val="Tahoma"/>
            <family val="2"/>
          </rPr>
          <t>max</t>
        </r>
        <r>
          <rPr>
            <b/>
            <sz val="9"/>
            <color indexed="81"/>
            <rFont val="Tahoma"/>
            <family val="2"/>
          </rPr>
          <t>T = Constant = 2897.8 micrometer*K) using the temperature you set above.</t>
        </r>
      </text>
    </comment>
    <comment ref="M19" authorId="1" shapeId="0" xr:uid="{05E33D35-7C9A-493B-A910-6367F577C664}">
      <text>
        <r>
          <rPr>
            <b/>
            <sz val="9"/>
            <color indexed="81"/>
            <rFont val="Tahoma"/>
            <family val="2"/>
          </rPr>
          <t>Computed from Planck's Law at the temperature you have specified.  Should match value found from chart on left.</t>
        </r>
      </text>
    </comment>
    <comment ref="N25" authorId="1" shapeId="0" xr:uid="{AC922D73-9C13-404B-A958-B1981647C2E9}">
      <text>
        <r>
          <rPr>
            <b/>
            <sz val="9"/>
            <color indexed="81"/>
            <rFont val="Tahoma"/>
            <family val="2"/>
          </rPr>
          <t>Uses Simpson's 1/3 rule with 1000 increments between the lower and upper limits to do this integration.</t>
        </r>
      </text>
    </comment>
    <comment ref="B45" authorId="2" shapeId="0" xr:uid="{18A40F44-2C23-4A81-B4C1-BD01A7F2B550}">
      <text>
        <r>
          <rPr>
            <sz val="11"/>
            <color indexed="17"/>
            <rFont val="Comic Sans MS"/>
            <family val="4"/>
          </rPr>
          <t>in units of W/m</t>
        </r>
        <r>
          <rPr>
            <vertAlign val="superscript"/>
            <sz val="11"/>
            <color indexed="17"/>
            <rFont val="Comic Sans MS"/>
            <family val="4"/>
          </rPr>
          <t>2</t>
        </r>
        <r>
          <rPr>
            <sz val="11"/>
            <color indexed="17"/>
            <rFont val="Comic Sans MS"/>
            <family val="4"/>
          </rPr>
          <t xml:space="preserve">·μm
</t>
        </r>
      </text>
    </comment>
  </commentList>
</comments>
</file>

<file path=xl/sharedStrings.xml><?xml version="1.0" encoding="utf-8"?>
<sst xmlns="http://schemas.openxmlformats.org/spreadsheetml/2006/main" count="13" uniqueCount="11">
  <si>
    <r>
      <t>Spectral Blackbody Emissive Power (W/m</t>
    </r>
    <r>
      <rPr>
        <b/>
        <vertAlign val="superscript"/>
        <sz val="14"/>
        <rFont val="Arial"/>
        <family val="2"/>
      </rPr>
      <t>2</t>
    </r>
    <r>
      <rPr>
        <b/>
        <sz val="14"/>
        <rFont val="Arial"/>
        <family val="2"/>
      </rPr>
      <t>·μm)</t>
    </r>
  </si>
  <si>
    <t>K</t>
  </si>
  <si>
    <t>μm</t>
  </si>
  <si>
    <t>W/m2·μm</t>
  </si>
  <si>
    <t>Power</t>
  </si>
  <si>
    <t>Emissive</t>
  </si>
  <si>
    <t>l</t>
  </si>
  <si>
    <t xml:space="preserve">Temperature, T = </t>
  </si>
  <si>
    <t>We know that at a temperature T, total emissive power of a blackbody is (Sigma*T^4). But, what fraction of this (Sigma*T^4) is emitted between the lower and upper limits of wavelength you selected?</t>
  </si>
  <si>
    <t>Shown in pink Vertical line</t>
  </si>
  <si>
    <t>Shown in green Vertical 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</si>
</sst>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Arial"/>
      <family val="2"/>
    </font>
    <font>
      <b/>
      <vertAlign val="superscript"/>
      <sz val="14"/>
      <name val="Arial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b/>
      <vertAlign val="subscript"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name val="Arial"/>
      <family val="2"/>
    </font>
    <font>
      <sz val="11"/>
      <color indexed="17"/>
      <name val="Comic Sans MS"/>
      <family val="4"/>
    </font>
    <font>
      <vertAlign val="superscript"/>
      <sz val="11"/>
      <color indexed="17"/>
      <name val="Comic Sans MS"/>
      <family val="4"/>
    </font>
    <font>
      <sz val="10"/>
      <color indexed="10"/>
      <name val="Comic Sans MS"/>
      <family val="4"/>
    </font>
    <font>
      <sz val="10"/>
      <color indexed="20"/>
      <name val="Comic Sans MS"/>
      <family val="4"/>
    </font>
    <font>
      <sz val="8"/>
      <color rgb="FF000000"/>
      <name val="Tahoma"/>
      <family val="2"/>
    </font>
    <font>
      <sz val="11"/>
      <color theme="0"/>
      <name val="Calibri"/>
      <family val="2"/>
      <scheme val="minor"/>
    </font>
    <font>
      <sz val="10"/>
      <color theme="0"/>
      <name val="Comic Sans MS"/>
      <family val="4"/>
    </font>
    <font>
      <sz val="10"/>
      <color theme="0"/>
      <name val="Symbol"/>
      <family val="1"/>
      <charset val="2"/>
    </font>
    <font>
      <b/>
      <sz val="11"/>
      <color rgb="FF002060"/>
      <name val="Arial"/>
      <family val="2"/>
    </font>
    <font>
      <b/>
      <sz val="20"/>
      <color theme="1"/>
      <name val="Arial"/>
      <family val="2"/>
    </font>
    <font>
      <sz val="11"/>
      <color theme="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CC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Border="1"/>
    <xf numFmtId="0" fontId="14" fillId="0" borderId="0" xfId="0" applyFont="1" applyBorder="1"/>
    <xf numFmtId="0" fontId="12" fillId="0" borderId="0" xfId="0" applyFont="1" applyBorder="1"/>
    <xf numFmtId="11" fontId="12" fillId="0" borderId="0" xfId="0" applyNumberFormat="1" applyFont="1" applyBorder="1"/>
    <xf numFmtId="0" fontId="11" fillId="0" borderId="0" xfId="0" applyFont="1" applyBorder="1"/>
    <xf numFmtId="11" fontId="11" fillId="0" borderId="0" xfId="0" applyNumberFormat="1" applyFont="1" applyBorder="1"/>
    <xf numFmtId="0" fontId="0" fillId="3" borderId="0" xfId="0" applyFill="1" applyBorder="1" applyProtection="1">
      <protection locked="0"/>
    </xf>
    <xf numFmtId="0" fontId="7" fillId="3" borderId="0" xfId="0" applyFont="1" applyFill="1" applyBorder="1" applyProtection="1">
      <protection locked="0"/>
    </xf>
    <xf numFmtId="0" fontId="8" fillId="3" borderId="0" xfId="0" applyFont="1" applyFill="1" applyBorder="1" applyProtection="1">
      <protection locked="0"/>
    </xf>
    <xf numFmtId="0" fontId="7" fillId="4" borderId="0" xfId="0" applyFont="1" applyFill="1" applyBorder="1" applyProtection="1">
      <protection locked="0"/>
    </xf>
    <xf numFmtId="0" fontId="14" fillId="0" borderId="0" xfId="0" applyFont="1"/>
    <xf numFmtId="0" fontId="15" fillId="0" borderId="0" xfId="0" applyFont="1" applyAlignment="1">
      <alignment horizontal="center"/>
    </xf>
    <xf numFmtId="0" fontId="16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" fillId="4" borderId="0" xfId="0" applyFont="1" applyFill="1" applyBorder="1" applyProtection="1">
      <protection locked="0"/>
    </xf>
    <xf numFmtId="3" fontId="7" fillId="4" borderId="0" xfId="0" applyNumberFormat="1" applyFont="1" applyFill="1" applyBorder="1" applyProtection="1">
      <protection locked="0"/>
    </xf>
    <xf numFmtId="0" fontId="5" fillId="3" borderId="0" xfId="0" applyFont="1" applyFill="1" applyBorder="1" applyAlignment="1" applyProtection="1">
      <alignment horizontal="center"/>
      <protection locked="0"/>
    </xf>
    <xf numFmtId="11" fontId="14" fillId="0" borderId="0" xfId="0" applyNumberFormat="1" applyFont="1"/>
    <xf numFmtId="0" fontId="19" fillId="3" borderId="0" xfId="0" applyFont="1" applyFill="1" applyBorder="1" applyProtection="1"/>
    <xf numFmtId="0" fontId="0" fillId="3" borderId="0" xfId="0" applyFill="1" applyBorder="1" applyProtection="1"/>
    <xf numFmtId="0" fontId="1" fillId="5" borderId="0" xfId="0" applyFont="1" applyFill="1" applyBorder="1" applyProtection="1"/>
    <xf numFmtId="0" fontId="7" fillId="3" borderId="0" xfId="0" applyFont="1" applyFill="1" applyBorder="1" applyProtection="1"/>
    <xf numFmtId="0" fontId="1" fillId="3" borderId="0" xfId="0" applyFont="1" applyFill="1" applyBorder="1" applyProtection="1"/>
    <xf numFmtId="0" fontId="5" fillId="3" borderId="0" xfId="0" applyFont="1" applyFill="1" applyBorder="1" applyAlignment="1" applyProtection="1">
      <alignment horizontal="center"/>
    </xf>
    <xf numFmtId="0" fontId="5" fillId="3" borderId="0" xfId="0" applyFont="1" applyFill="1" applyBorder="1" applyAlignment="1" applyProtection="1">
      <alignment horizontal="center"/>
      <protection locked="0"/>
    </xf>
    <xf numFmtId="0" fontId="18" fillId="5" borderId="0" xfId="0" applyFont="1" applyFill="1" applyBorder="1" applyAlignment="1" applyProtection="1">
      <alignment horizontal="center"/>
      <protection locked="0"/>
    </xf>
    <xf numFmtId="0" fontId="17" fillId="4" borderId="0" xfId="0" applyFont="1" applyFill="1" applyAlignment="1" applyProtection="1">
      <alignment horizontal="center" wrapText="1"/>
    </xf>
    <xf numFmtId="0" fontId="5" fillId="3" borderId="0" xfId="0" applyFont="1" applyFill="1" applyBorder="1" applyAlignment="1" applyProtection="1">
      <alignment horizontal="center"/>
    </xf>
    <xf numFmtId="0" fontId="2" fillId="2" borderId="2" xfId="0" applyFont="1" applyFill="1" applyBorder="1" applyAlignment="1">
      <alignment horizontal="center"/>
    </xf>
    <xf numFmtId="0" fontId="5" fillId="3" borderId="0" xfId="0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B0082"/>
      <color rgb="FFFF0066"/>
      <color rgb="FF66FF99"/>
      <color rgb="FFFF9966"/>
      <color rgb="FF57E0FB"/>
      <color rgb="FFFF99CC"/>
      <color rgb="FFFF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 sz="1400" b="1">
                <a:latin typeface="Arial" panose="020B0604020202020204" pitchFamily="34" charset="0"/>
                <a:cs typeface="Arial" panose="020B0604020202020204" pitchFamily="34" charset="0"/>
              </a:rPr>
              <a:t>Spectral</a:t>
            </a:r>
            <a:r>
              <a:rPr lang="en-US" sz="1400" b="1" baseline="0">
                <a:latin typeface="Arial" panose="020B0604020202020204" pitchFamily="34" charset="0"/>
                <a:cs typeface="Arial" panose="020B0604020202020204" pitchFamily="34" charset="0"/>
              </a:rPr>
              <a:t> Blackbody Emissive Power</a:t>
            </a:r>
          </a:p>
          <a:p>
            <a:pPr>
              <a:defRPr/>
            </a:pPr>
            <a:r>
              <a:rPr lang="en-US" sz="1050" b="1" baseline="0">
                <a:latin typeface="Arial" panose="020B0604020202020204" pitchFamily="34" charset="0"/>
                <a:cs typeface="Arial" panose="020B0604020202020204" pitchFamily="34" charset="0"/>
              </a:rPr>
              <a:t>(with Temperature (K) as parameter)</a:t>
            </a:r>
            <a:endParaRPr lang="en-US" sz="1050" b="1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875404530744337"/>
          <c:y val="0.13198896748075983"/>
          <c:w val="0.81512944983818769"/>
          <c:h val="0.71106721829262864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Mainsheet!$A$46:$A$2044</c:f>
              <c:numCache>
                <c:formatCode>General</c:formatCode>
                <c:ptCount val="1999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  <c:pt idx="17">
                  <c:v>0.95</c:v>
                </c:pt>
                <c:pt idx="18">
                  <c:v>1</c:v>
                </c:pt>
                <c:pt idx="19">
                  <c:v>1.05</c:v>
                </c:pt>
                <c:pt idx="20">
                  <c:v>1.1000000000000001</c:v>
                </c:pt>
                <c:pt idx="21">
                  <c:v>1.1499999999999999</c:v>
                </c:pt>
                <c:pt idx="22">
                  <c:v>1.2</c:v>
                </c:pt>
                <c:pt idx="23">
                  <c:v>1.25</c:v>
                </c:pt>
                <c:pt idx="24">
                  <c:v>1.3</c:v>
                </c:pt>
                <c:pt idx="25">
                  <c:v>1.35</c:v>
                </c:pt>
                <c:pt idx="26">
                  <c:v>1.4</c:v>
                </c:pt>
                <c:pt idx="27">
                  <c:v>1.45</c:v>
                </c:pt>
                <c:pt idx="28">
                  <c:v>1.5</c:v>
                </c:pt>
                <c:pt idx="29">
                  <c:v>1.55</c:v>
                </c:pt>
                <c:pt idx="30">
                  <c:v>1.6</c:v>
                </c:pt>
                <c:pt idx="31">
                  <c:v>1.65</c:v>
                </c:pt>
                <c:pt idx="32">
                  <c:v>1.7</c:v>
                </c:pt>
                <c:pt idx="33">
                  <c:v>1.75</c:v>
                </c:pt>
                <c:pt idx="34">
                  <c:v>1.8</c:v>
                </c:pt>
                <c:pt idx="35">
                  <c:v>1.85</c:v>
                </c:pt>
                <c:pt idx="36">
                  <c:v>1.9</c:v>
                </c:pt>
                <c:pt idx="37">
                  <c:v>1.95</c:v>
                </c:pt>
                <c:pt idx="38">
                  <c:v>2</c:v>
                </c:pt>
                <c:pt idx="39">
                  <c:v>2.0499999999999998</c:v>
                </c:pt>
                <c:pt idx="40">
                  <c:v>2.1</c:v>
                </c:pt>
                <c:pt idx="41">
                  <c:v>2.15</c:v>
                </c:pt>
                <c:pt idx="42">
                  <c:v>2.2000000000000002</c:v>
                </c:pt>
                <c:pt idx="43">
                  <c:v>2.25</c:v>
                </c:pt>
                <c:pt idx="44">
                  <c:v>2.2999999999999998</c:v>
                </c:pt>
                <c:pt idx="45">
                  <c:v>2.35</c:v>
                </c:pt>
                <c:pt idx="46">
                  <c:v>2.4</c:v>
                </c:pt>
                <c:pt idx="47">
                  <c:v>2.4500000000000002</c:v>
                </c:pt>
                <c:pt idx="48">
                  <c:v>2.5</c:v>
                </c:pt>
                <c:pt idx="49">
                  <c:v>2.5499999999999998</c:v>
                </c:pt>
                <c:pt idx="50">
                  <c:v>2.6</c:v>
                </c:pt>
                <c:pt idx="51">
                  <c:v>2.65</c:v>
                </c:pt>
                <c:pt idx="52">
                  <c:v>2.7</c:v>
                </c:pt>
                <c:pt idx="53">
                  <c:v>2.75</c:v>
                </c:pt>
                <c:pt idx="54">
                  <c:v>2.8</c:v>
                </c:pt>
                <c:pt idx="55">
                  <c:v>2.85</c:v>
                </c:pt>
                <c:pt idx="56">
                  <c:v>2.9</c:v>
                </c:pt>
                <c:pt idx="57">
                  <c:v>2.95</c:v>
                </c:pt>
                <c:pt idx="58">
                  <c:v>3</c:v>
                </c:pt>
                <c:pt idx="59">
                  <c:v>3.05</c:v>
                </c:pt>
                <c:pt idx="60">
                  <c:v>3.1</c:v>
                </c:pt>
                <c:pt idx="61">
                  <c:v>3.15</c:v>
                </c:pt>
                <c:pt idx="62">
                  <c:v>3.2</c:v>
                </c:pt>
                <c:pt idx="63">
                  <c:v>3.25</c:v>
                </c:pt>
                <c:pt idx="64">
                  <c:v>3.3</c:v>
                </c:pt>
                <c:pt idx="65">
                  <c:v>3.35</c:v>
                </c:pt>
                <c:pt idx="66">
                  <c:v>3.4</c:v>
                </c:pt>
                <c:pt idx="67">
                  <c:v>3.45</c:v>
                </c:pt>
                <c:pt idx="68">
                  <c:v>3.5</c:v>
                </c:pt>
                <c:pt idx="69">
                  <c:v>3.55</c:v>
                </c:pt>
                <c:pt idx="70">
                  <c:v>3.6</c:v>
                </c:pt>
                <c:pt idx="71">
                  <c:v>3.65</c:v>
                </c:pt>
                <c:pt idx="72">
                  <c:v>3.7</c:v>
                </c:pt>
                <c:pt idx="73">
                  <c:v>3.75</c:v>
                </c:pt>
                <c:pt idx="74">
                  <c:v>3.8</c:v>
                </c:pt>
                <c:pt idx="75">
                  <c:v>3.85</c:v>
                </c:pt>
                <c:pt idx="76">
                  <c:v>3.9</c:v>
                </c:pt>
                <c:pt idx="77">
                  <c:v>3.95</c:v>
                </c:pt>
                <c:pt idx="78">
                  <c:v>4</c:v>
                </c:pt>
                <c:pt idx="79">
                  <c:v>4.05</c:v>
                </c:pt>
                <c:pt idx="80">
                  <c:v>4.0999999999999996</c:v>
                </c:pt>
                <c:pt idx="81">
                  <c:v>4.1500000000000004</c:v>
                </c:pt>
                <c:pt idx="82">
                  <c:v>4.2</c:v>
                </c:pt>
                <c:pt idx="83">
                  <c:v>4.25</c:v>
                </c:pt>
                <c:pt idx="84">
                  <c:v>4.3</c:v>
                </c:pt>
                <c:pt idx="85">
                  <c:v>4.3499999999999996</c:v>
                </c:pt>
                <c:pt idx="86">
                  <c:v>4.4000000000000004</c:v>
                </c:pt>
                <c:pt idx="87">
                  <c:v>4.45</c:v>
                </c:pt>
                <c:pt idx="88">
                  <c:v>4.5</c:v>
                </c:pt>
                <c:pt idx="89">
                  <c:v>4.55</c:v>
                </c:pt>
                <c:pt idx="90">
                  <c:v>4.5999999999999996</c:v>
                </c:pt>
                <c:pt idx="91">
                  <c:v>4.6500000000000004</c:v>
                </c:pt>
                <c:pt idx="92">
                  <c:v>4.7</c:v>
                </c:pt>
                <c:pt idx="93">
                  <c:v>4.75</c:v>
                </c:pt>
                <c:pt idx="94">
                  <c:v>4.8</c:v>
                </c:pt>
                <c:pt idx="95">
                  <c:v>4.8499999999999996</c:v>
                </c:pt>
                <c:pt idx="96">
                  <c:v>4.9000000000000004</c:v>
                </c:pt>
                <c:pt idx="97">
                  <c:v>4.95</c:v>
                </c:pt>
                <c:pt idx="98">
                  <c:v>5</c:v>
                </c:pt>
                <c:pt idx="99">
                  <c:v>5.05</c:v>
                </c:pt>
                <c:pt idx="100">
                  <c:v>5.0999999999999996</c:v>
                </c:pt>
                <c:pt idx="101">
                  <c:v>5.15</c:v>
                </c:pt>
                <c:pt idx="102">
                  <c:v>5.2</c:v>
                </c:pt>
                <c:pt idx="103">
                  <c:v>5.25</c:v>
                </c:pt>
                <c:pt idx="104">
                  <c:v>5.3</c:v>
                </c:pt>
                <c:pt idx="105">
                  <c:v>5.35</c:v>
                </c:pt>
                <c:pt idx="106">
                  <c:v>5.4</c:v>
                </c:pt>
                <c:pt idx="107">
                  <c:v>5.45</c:v>
                </c:pt>
                <c:pt idx="108">
                  <c:v>5.5</c:v>
                </c:pt>
                <c:pt idx="109">
                  <c:v>5.55</c:v>
                </c:pt>
                <c:pt idx="110">
                  <c:v>5.6</c:v>
                </c:pt>
                <c:pt idx="111">
                  <c:v>5.65</c:v>
                </c:pt>
                <c:pt idx="112">
                  <c:v>5.7</c:v>
                </c:pt>
                <c:pt idx="113">
                  <c:v>5.75</c:v>
                </c:pt>
                <c:pt idx="114">
                  <c:v>5.8</c:v>
                </c:pt>
                <c:pt idx="115">
                  <c:v>5.85</c:v>
                </c:pt>
                <c:pt idx="116">
                  <c:v>5.9</c:v>
                </c:pt>
                <c:pt idx="117">
                  <c:v>5.95</c:v>
                </c:pt>
                <c:pt idx="118">
                  <c:v>6</c:v>
                </c:pt>
                <c:pt idx="119">
                  <c:v>6.05</c:v>
                </c:pt>
                <c:pt idx="120">
                  <c:v>6.1</c:v>
                </c:pt>
                <c:pt idx="121">
                  <c:v>6.15</c:v>
                </c:pt>
                <c:pt idx="122">
                  <c:v>6.2</c:v>
                </c:pt>
                <c:pt idx="123">
                  <c:v>6.25</c:v>
                </c:pt>
                <c:pt idx="124">
                  <c:v>6.3</c:v>
                </c:pt>
                <c:pt idx="125">
                  <c:v>6.35</c:v>
                </c:pt>
                <c:pt idx="126">
                  <c:v>6.4</c:v>
                </c:pt>
                <c:pt idx="127">
                  <c:v>6.45</c:v>
                </c:pt>
                <c:pt idx="128">
                  <c:v>6.5</c:v>
                </c:pt>
                <c:pt idx="129">
                  <c:v>6.55</c:v>
                </c:pt>
                <c:pt idx="130">
                  <c:v>6.6</c:v>
                </c:pt>
                <c:pt idx="131">
                  <c:v>6.65</c:v>
                </c:pt>
                <c:pt idx="132">
                  <c:v>6.7</c:v>
                </c:pt>
                <c:pt idx="133">
                  <c:v>6.75</c:v>
                </c:pt>
                <c:pt idx="134">
                  <c:v>6.8</c:v>
                </c:pt>
                <c:pt idx="135">
                  <c:v>6.85</c:v>
                </c:pt>
                <c:pt idx="136">
                  <c:v>6.9</c:v>
                </c:pt>
                <c:pt idx="137">
                  <c:v>6.95</c:v>
                </c:pt>
                <c:pt idx="138">
                  <c:v>7</c:v>
                </c:pt>
                <c:pt idx="139">
                  <c:v>7.05</c:v>
                </c:pt>
                <c:pt idx="140">
                  <c:v>7.1</c:v>
                </c:pt>
                <c:pt idx="141">
                  <c:v>7.15</c:v>
                </c:pt>
                <c:pt idx="142">
                  <c:v>7.2</c:v>
                </c:pt>
                <c:pt idx="143">
                  <c:v>7.25</c:v>
                </c:pt>
                <c:pt idx="144">
                  <c:v>7.3</c:v>
                </c:pt>
                <c:pt idx="145">
                  <c:v>7.35</c:v>
                </c:pt>
                <c:pt idx="146">
                  <c:v>7.4</c:v>
                </c:pt>
                <c:pt idx="147">
                  <c:v>7.45</c:v>
                </c:pt>
                <c:pt idx="148">
                  <c:v>7.5</c:v>
                </c:pt>
                <c:pt idx="149">
                  <c:v>7.55</c:v>
                </c:pt>
                <c:pt idx="150">
                  <c:v>7.6</c:v>
                </c:pt>
                <c:pt idx="151">
                  <c:v>7.65</c:v>
                </c:pt>
                <c:pt idx="152">
                  <c:v>7.7</c:v>
                </c:pt>
                <c:pt idx="153">
                  <c:v>7.75</c:v>
                </c:pt>
                <c:pt idx="154">
                  <c:v>7.8</c:v>
                </c:pt>
                <c:pt idx="155">
                  <c:v>7.85</c:v>
                </c:pt>
                <c:pt idx="156">
                  <c:v>7.9</c:v>
                </c:pt>
                <c:pt idx="157">
                  <c:v>7.95</c:v>
                </c:pt>
                <c:pt idx="158">
                  <c:v>8</c:v>
                </c:pt>
                <c:pt idx="159">
                  <c:v>8.0500000000000007</c:v>
                </c:pt>
                <c:pt idx="160">
                  <c:v>8.1</c:v>
                </c:pt>
                <c:pt idx="161">
                  <c:v>8.15</c:v>
                </c:pt>
                <c:pt idx="162">
                  <c:v>8.1999999999999993</c:v>
                </c:pt>
                <c:pt idx="163">
                  <c:v>8.25</c:v>
                </c:pt>
                <c:pt idx="164">
                  <c:v>8.3000000000000007</c:v>
                </c:pt>
                <c:pt idx="165">
                  <c:v>8.35</c:v>
                </c:pt>
                <c:pt idx="166">
                  <c:v>8.4</c:v>
                </c:pt>
                <c:pt idx="167">
                  <c:v>8.4499999999999993</c:v>
                </c:pt>
                <c:pt idx="168">
                  <c:v>8.5</c:v>
                </c:pt>
                <c:pt idx="169">
                  <c:v>8.5500000000000007</c:v>
                </c:pt>
                <c:pt idx="170">
                  <c:v>8.6</c:v>
                </c:pt>
                <c:pt idx="171">
                  <c:v>8.65</c:v>
                </c:pt>
                <c:pt idx="172">
                  <c:v>8.6999999999999993</c:v>
                </c:pt>
                <c:pt idx="173">
                  <c:v>8.75</c:v>
                </c:pt>
                <c:pt idx="174">
                  <c:v>8.8000000000000007</c:v>
                </c:pt>
                <c:pt idx="175">
                  <c:v>8.85</c:v>
                </c:pt>
                <c:pt idx="176">
                  <c:v>8.9</c:v>
                </c:pt>
                <c:pt idx="177">
                  <c:v>8.9499999999999993</c:v>
                </c:pt>
                <c:pt idx="178">
                  <c:v>9</c:v>
                </c:pt>
                <c:pt idx="179">
                  <c:v>9.0500000000000007</c:v>
                </c:pt>
                <c:pt idx="180">
                  <c:v>9.1</c:v>
                </c:pt>
                <c:pt idx="181">
                  <c:v>9.15</c:v>
                </c:pt>
                <c:pt idx="182">
                  <c:v>9.1999999999999993</c:v>
                </c:pt>
                <c:pt idx="183">
                  <c:v>9.25</c:v>
                </c:pt>
                <c:pt idx="184">
                  <c:v>9.3000000000000007</c:v>
                </c:pt>
                <c:pt idx="185">
                  <c:v>9.35</c:v>
                </c:pt>
                <c:pt idx="186">
                  <c:v>9.4</c:v>
                </c:pt>
                <c:pt idx="187">
                  <c:v>9.4499999999999993</c:v>
                </c:pt>
                <c:pt idx="188">
                  <c:v>9.5</c:v>
                </c:pt>
                <c:pt idx="189">
                  <c:v>9.5500000000000007</c:v>
                </c:pt>
                <c:pt idx="190">
                  <c:v>9.6</c:v>
                </c:pt>
                <c:pt idx="191">
                  <c:v>9.65</c:v>
                </c:pt>
                <c:pt idx="192">
                  <c:v>9.6999999999999993</c:v>
                </c:pt>
                <c:pt idx="193">
                  <c:v>9.75</c:v>
                </c:pt>
                <c:pt idx="194">
                  <c:v>9.8000000000000007</c:v>
                </c:pt>
                <c:pt idx="195">
                  <c:v>9.85</c:v>
                </c:pt>
                <c:pt idx="196">
                  <c:v>9.9</c:v>
                </c:pt>
                <c:pt idx="197">
                  <c:v>9.9499999999999993</c:v>
                </c:pt>
                <c:pt idx="198">
                  <c:v>10</c:v>
                </c:pt>
                <c:pt idx="199">
                  <c:v>10.050000000000001</c:v>
                </c:pt>
                <c:pt idx="200">
                  <c:v>10.1</c:v>
                </c:pt>
                <c:pt idx="201">
                  <c:v>10.15</c:v>
                </c:pt>
                <c:pt idx="202">
                  <c:v>10.199999999999999</c:v>
                </c:pt>
                <c:pt idx="203">
                  <c:v>10.25</c:v>
                </c:pt>
                <c:pt idx="204">
                  <c:v>10.3</c:v>
                </c:pt>
                <c:pt idx="205">
                  <c:v>10.35</c:v>
                </c:pt>
                <c:pt idx="206">
                  <c:v>10.4</c:v>
                </c:pt>
                <c:pt idx="207">
                  <c:v>10.45</c:v>
                </c:pt>
                <c:pt idx="208">
                  <c:v>10.5</c:v>
                </c:pt>
                <c:pt idx="209">
                  <c:v>10.55</c:v>
                </c:pt>
                <c:pt idx="210">
                  <c:v>10.6</c:v>
                </c:pt>
                <c:pt idx="211">
                  <c:v>10.65</c:v>
                </c:pt>
                <c:pt idx="212">
                  <c:v>10.7</c:v>
                </c:pt>
                <c:pt idx="213">
                  <c:v>10.75</c:v>
                </c:pt>
                <c:pt idx="214">
                  <c:v>10.8</c:v>
                </c:pt>
                <c:pt idx="215">
                  <c:v>10.85</c:v>
                </c:pt>
                <c:pt idx="216">
                  <c:v>10.9</c:v>
                </c:pt>
                <c:pt idx="217">
                  <c:v>10.95</c:v>
                </c:pt>
                <c:pt idx="218">
                  <c:v>11</c:v>
                </c:pt>
                <c:pt idx="219">
                  <c:v>11.05</c:v>
                </c:pt>
                <c:pt idx="220">
                  <c:v>11.1</c:v>
                </c:pt>
                <c:pt idx="221">
                  <c:v>11.15</c:v>
                </c:pt>
                <c:pt idx="222">
                  <c:v>11.2</c:v>
                </c:pt>
                <c:pt idx="223">
                  <c:v>11.25</c:v>
                </c:pt>
                <c:pt idx="224">
                  <c:v>11.3</c:v>
                </c:pt>
                <c:pt idx="225">
                  <c:v>11.35</c:v>
                </c:pt>
                <c:pt idx="226">
                  <c:v>11.4</c:v>
                </c:pt>
                <c:pt idx="227">
                  <c:v>11.45</c:v>
                </c:pt>
                <c:pt idx="228">
                  <c:v>11.5</c:v>
                </c:pt>
                <c:pt idx="229">
                  <c:v>11.55</c:v>
                </c:pt>
                <c:pt idx="230">
                  <c:v>11.6</c:v>
                </c:pt>
                <c:pt idx="231">
                  <c:v>11.65</c:v>
                </c:pt>
                <c:pt idx="232">
                  <c:v>11.7</c:v>
                </c:pt>
                <c:pt idx="233">
                  <c:v>11.75</c:v>
                </c:pt>
                <c:pt idx="234">
                  <c:v>11.8</c:v>
                </c:pt>
                <c:pt idx="235">
                  <c:v>11.85</c:v>
                </c:pt>
                <c:pt idx="236">
                  <c:v>11.9</c:v>
                </c:pt>
                <c:pt idx="237">
                  <c:v>11.95</c:v>
                </c:pt>
                <c:pt idx="238">
                  <c:v>12</c:v>
                </c:pt>
                <c:pt idx="239">
                  <c:v>12.05</c:v>
                </c:pt>
                <c:pt idx="240">
                  <c:v>12.1</c:v>
                </c:pt>
                <c:pt idx="241">
                  <c:v>12.15</c:v>
                </c:pt>
                <c:pt idx="242">
                  <c:v>12.2</c:v>
                </c:pt>
                <c:pt idx="243">
                  <c:v>12.25</c:v>
                </c:pt>
                <c:pt idx="244">
                  <c:v>12.3</c:v>
                </c:pt>
                <c:pt idx="245">
                  <c:v>12.35</c:v>
                </c:pt>
                <c:pt idx="246">
                  <c:v>12.4</c:v>
                </c:pt>
                <c:pt idx="247">
                  <c:v>12.45</c:v>
                </c:pt>
                <c:pt idx="248">
                  <c:v>12.5</c:v>
                </c:pt>
                <c:pt idx="249">
                  <c:v>12.55</c:v>
                </c:pt>
                <c:pt idx="250">
                  <c:v>12.6</c:v>
                </c:pt>
                <c:pt idx="251">
                  <c:v>12.649999999999901</c:v>
                </c:pt>
                <c:pt idx="252">
                  <c:v>12.6999999999999</c:v>
                </c:pt>
                <c:pt idx="253">
                  <c:v>12.749999999999901</c:v>
                </c:pt>
                <c:pt idx="254">
                  <c:v>12.799999999999899</c:v>
                </c:pt>
                <c:pt idx="255">
                  <c:v>12.8499999999999</c:v>
                </c:pt>
                <c:pt idx="256">
                  <c:v>12.899999999999901</c:v>
                </c:pt>
                <c:pt idx="257">
                  <c:v>12.9499999999999</c:v>
                </c:pt>
                <c:pt idx="258">
                  <c:v>12.999999999999901</c:v>
                </c:pt>
                <c:pt idx="259">
                  <c:v>13.049999999999899</c:v>
                </c:pt>
                <c:pt idx="260">
                  <c:v>13.0999999999999</c:v>
                </c:pt>
                <c:pt idx="261">
                  <c:v>13.149999999999901</c:v>
                </c:pt>
                <c:pt idx="262">
                  <c:v>13.1999999999999</c:v>
                </c:pt>
                <c:pt idx="263">
                  <c:v>13.249999999999901</c:v>
                </c:pt>
                <c:pt idx="264">
                  <c:v>13.299999999999899</c:v>
                </c:pt>
                <c:pt idx="265">
                  <c:v>13.3499999999999</c:v>
                </c:pt>
                <c:pt idx="266">
                  <c:v>13.399999999999901</c:v>
                </c:pt>
                <c:pt idx="267">
                  <c:v>13.4499999999999</c:v>
                </c:pt>
                <c:pt idx="268">
                  <c:v>13.499999999999901</c:v>
                </c:pt>
                <c:pt idx="269">
                  <c:v>13.549999999999899</c:v>
                </c:pt>
                <c:pt idx="270">
                  <c:v>13.5999999999999</c:v>
                </c:pt>
                <c:pt idx="271">
                  <c:v>13.649999999999901</c:v>
                </c:pt>
                <c:pt idx="272">
                  <c:v>13.6999999999999</c:v>
                </c:pt>
                <c:pt idx="273">
                  <c:v>13.749999999999901</c:v>
                </c:pt>
                <c:pt idx="274">
                  <c:v>13.799999999999899</c:v>
                </c:pt>
                <c:pt idx="275">
                  <c:v>13.8499999999999</c:v>
                </c:pt>
                <c:pt idx="276">
                  <c:v>13.899999999999901</c:v>
                </c:pt>
                <c:pt idx="277">
                  <c:v>13.9499999999999</c:v>
                </c:pt>
                <c:pt idx="278">
                  <c:v>13.999999999999901</c:v>
                </c:pt>
                <c:pt idx="279">
                  <c:v>14.049999999999899</c:v>
                </c:pt>
                <c:pt idx="280">
                  <c:v>14.0999999999999</c:v>
                </c:pt>
                <c:pt idx="281">
                  <c:v>14.149999999999901</c:v>
                </c:pt>
                <c:pt idx="282">
                  <c:v>14.1999999999999</c:v>
                </c:pt>
                <c:pt idx="283">
                  <c:v>14.249999999999901</c:v>
                </c:pt>
                <c:pt idx="284">
                  <c:v>14.299999999999899</c:v>
                </c:pt>
                <c:pt idx="285">
                  <c:v>14.3499999999999</c:v>
                </c:pt>
                <c:pt idx="286">
                  <c:v>14.399999999999901</c:v>
                </c:pt>
                <c:pt idx="287">
                  <c:v>14.4499999999999</c:v>
                </c:pt>
                <c:pt idx="288">
                  <c:v>14.499999999999901</c:v>
                </c:pt>
                <c:pt idx="289">
                  <c:v>14.549999999999899</c:v>
                </c:pt>
                <c:pt idx="290">
                  <c:v>14.5999999999999</c:v>
                </c:pt>
                <c:pt idx="291">
                  <c:v>14.649999999999901</c:v>
                </c:pt>
                <c:pt idx="292">
                  <c:v>14.6999999999999</c:v>
                </c:pt>
                <c:pt idx="293">
                  <c:v>14.749999999999901</c:v>
                </c:pt>
                <c:pt idx="294">
                  <c:v>14.799999999999899</c:v>
                </c:pt>
                <c:pt idx="295">
                  <c:v>14.8499999999999</c:v>
                </c:pt>
                <c:pt idx="296">
                  <c:v>14.899999999999901</c:v>
                </c:pt>
                <c:pt idx="297">
                  <c:v>14.9499999999999</c:v>
                </c:pt>
                <c:pt idx="298">
                  <c:v>14.999999999999901</c:v>
                </c:pt>
                <c:pt idx="299">
                  <c:v>15.049999999999899</c:v>
                </c:pt>
                <c:pt idx="300">
                  <c:v>15.0999999999999</c:v>
                </c:pt>
                <c:pt idx="301">
                  <c:v>15.149999999999901</c:v>
                </c:pt>
                <c:pt idx="302">
                  <c:v>15.1999999999999</c:v>
                </c:pt>
                <c:pt idx="303">
                  <c:v>15.249999999999901</c:v>
                </c:pt>
                <c:pt idx="304">
                  <c:v>15.299999999999899</c:v>
                </c:pt>
                <c:pt idx="305">
                  <c:v>15.3499999999999</c:v>
                </c:pt>
                <c:pt idx="306">
                  <c:v>15.399999999999901</c:v>
                </c:pt>
                <c:pt idx="307">
                  <c:v>15.4499999999999</c:v>
                </c:pt>
                <c:pt idx="308">
                  <c:v>15.499999999999901</c:v>
                </c:pt>
                <c:pt idx="309">
                  <c:v>15.549999999999899</c:v>
                </c:pt>
                <c:pt idx="310">
                  <c:v>15.5999999999999</c:v>
                </c:pt>
                <c:pt idx="311">
                  <c:v>15.649999999999901</c:v>
                </c:pt>
                <c:pt idx="312">
                  <c:v>15.6999999999999</c:v>
                </c:pt>
                <c:pt idx="313">
                  <c:v>15.749999999999901</c:v>
                </c:pt>
                <c:pt idx="314">
                  <c:v>15.799999999999899</c:v>
                </c:pt>
                <c:pt idx="315">
                  <c:v>15.8499999999999</c:v>
                </c:pt>
                <c:pt idx="316">
                  <c:v>15.899999999999901</c:v>
                </c:pt>
                <c:pt idx="317">
                  <c:v>15.9499999999999</c:v>
                </c:pt>
                <c:pt idx="318">
                  <c:v>15.999999999999901</c:v>
                </c:pt>
                <c:pt idx="319">
                  <c:v>16.049999999999901</c:v>
                </c:pt>
                <c:pt idx="320">
                  <c:v>16.099999999999898</c:v>
                </c:pt>
                <c:pt idx="321">
                  <c:v>16.149999999999899</c:v>
                </c:pt>
                <c:pt idx="322">
                  <c:v>16.1999999999999</c:v>
                </c:pt>
                <c:pt idx="323">
                  <c:v>16.249999999999901</c:v>
                </c:pt>
                <c:pt idx="324">
                  <c:v>16.299999999999901</c:v>
                </c:pt>
                <c:pt idx="325">
                  <c:v>16.349999999999898</c:v>
                </c:pt>
                <c:pt idx="326">
                  <c:v>16.399999999999899</c:v>
                </c:pt>
                <c:pt idx="327">
                  <c:v>16.4499999999999</c:v>
                </c:pt>
                <c:pt idx="328">
                  <c:v>16.499999999999901</c:v>
                </c:pt>
                <c:pt idx="329">
                  <c:v>16.549999999999901</c:v>
                </c:pt>
                <c:pt idx="330">
                  <c:v>16.599999999999898</c:v>
                </c:pt>
                <c:pt idx="331">
                  <c:v>16.649999999999899</c:v>
                </c:pt>
                <c:pt idx="332">
                  <c:v>16.6999999999999</c:v>
                </c:pt>
                <c:pt idx="333">
                  <c:v>16.749999999999901</c:v>
                </c:pt>
                <c:pt idx="334">
                  <c:v>16.799999999999901</c:v>
                </c:pt>
                <c:pt idx="335">
                  <c:v>16.849999999999898</c:v>
                </c:pt>
                <c:pt idx="336">
                  <c:v>16.8999999999998</c:v>
                </c:pt>
                <c:pt idx="337">
                  <c:v>16.9499999999999</c:v>
                </c:pt>
                <c:pt idx="338">
                  <c:v>16.999999999999901</c:v>
                </c:pt>
                <c:pt idx="339">
                  <c:v>17.049999999999901</c:v>
                </c:pt>
                <c:pt idx="340">
                  <c:v>17.099999999999898</c:v>
                </c:pt>
                <c:pt idx="341">
                  <c:v>17.1499999999998</c:v>
                </c:pt>
                <c:pt idx="342">
                  <c:v>17.1999999999999</c:v>
                </c:pt>
                <c:pt idx="343">
                  <c:v>17.249999999999901</c:v>
                </c:pt>
                <c:pt idx="344">
                  <c:v>17.299999999999901</c:v>
                </c:pt>
                <c:pt idx="345">
                  <c:v>17.349999999999799</c:v>
                </c:pt>
                <c:pt idx="346">
                  <c:v>17.3999999999998</c:v>
                </c:pt>
                <c:pt idx="347">
                  <c:v>17.4499999999998</c:v>
                </c:pt>
                <c:pt idx="348">
                  <c:v>17.499999999999801</c:v>
                </c:pt>
                <c:pt idx="349">
                  <c:v>17.549999999999802</c:v>
                </c:pt>
                <c:pt idx="350">
                  <c:v>17.599999999999799</c:v>
                </c:pt>
                <c:pt idx="351">
                  <c:v>17.6499999999998</c:v>
                </c:pt>
                <c:pt idx="352">
                  <c:v>17.6999999999998</c:v>
                </c:pt>
                <c:pt idx="353">
                  <c:v>17.749999999999801</c:v>
                </c:pt>
                <c:pt idx="354">
                  <c:v>17.799999999999802</c:v>
                </c:pt>
                <c:pt idx="355">
                  <c:v>17.849999999999799</c:v>
                </c:pt>
                <c:pt idx="356">
                  <c:v>17.8999999999998</c:v>
                </c:pt>
                <c:pt idx="357">
                  <c:v>17.9499999999998</c:v>
                </c:pt>
                <c:pt idx="358">
                  <c:v>17.999999999999801</c:v>
                </c:pt>
                <c:pt idx="359">
                  <c:v>18.049999999999802</c:v>
                </c:pt>
                <c:pt idx="360">
                  <c:v>18.099999999999799</c:v>
                </c:pt>
                <c:pt idx="361">
                  <c:v>18.1499999999998</c:v>
                </c:pt>
                <c:pt idx="362">
                  <c:v>18.1999999999998</c:v>
                </c:pt>
                <c:pt idx="363">
                  <c:v>18.249999999999801</c:v>
                </c:pt>
                <c:pt idx="364">
                  <c:v>18.299999999999802</c:v>
                </c:pt>
                <c:pt idx="365">
                  <c:v>18.349999999999799</c:v>
                </c:pt>
                <c:pt idx="366">
                  <c:v>18.3999999999998</c:v>
                </c:pt>
                <c:pt idx="367">
                  <c:v>18.4499999999998</c:v>
                </c:pt>
                <c:pt idx="368">
                  <c:v>18.499999999999801</c:v>
                </c:pt>
                <c:pt idx="369">
                  <c:v>18.549999999999802</c:v>
                </c:pt>
                <c:pt idx="370">
                  <c:v>18.599999999999799</c:v>
                </c:pt>
                <c:pt idx="371">
                  <c:v>18.6499999999998</c:v>
                </c:pt>
                <c:pt idx="372">
                  <c:v>18.6999999999998</c:v>
                </c:pt>
                <c:pt idx="373">
                  <c:v>18.749999999999801</c:v>
                </c:pt>
                <c:pt idx="374">
                  <c:v>18.799999999999802</c:v>
                </c:pt>
                <c:pt idx="375">
                  <c:v>18.849999999999799</c:v>
                </c:pt>
                <c:pt idx="376">
                  <c:v>18.8999999999998</c:v>
                </c:pt>
                <c:pt idx="377">
                  <c:v>18.9499999999998</c:v>
                </c:pt>
                <c:pt idx="378">
                  <c:v>18.999999999999801</c:v>
                </c:pt>
                <c:pt idx="379">
                  <c:v>19.049999999999802</c:v>
                </c:pt>
                <c:pt idx="380">
                  <c:v>19.099999999999799</c:v>
                </c:pt>
                <c:pt idx="381">
                  <c:v>19.1499999999998</c:v>
                </c:pt>
                <c:pt idx="382">
                  <c:v>19.1999999999998</c:v>
                </c:pt>
                <c:pt idx="383">
                  <c:v>19.249999999999801</c:v>
                </c:pt>
                <c:pt idx="384">
                  <c:v>19.299999999999802</c:v>
                </c:pt>
                <c:pt idx="385">
                  <c:v>19.349999999999799</c:v>
                </c:pt>
                <c:pt idx="386">
                  <c:v>19.3999999999998</c:v>
                </c:pt>
                <c:pt idx="387">
                  <c:v>19.4499999999998</c:v>
                </c:pt>
                <c:pt idx="388">
                  <c:v>19.499999999999801</c:v>
                </c:pt>
                <c:pt idx="389">
                  <c:v>19.549999999999802</c:v>
                </c:pt>
                <c:pt idx="390">
                  <c:v>19.599999999999799</c:v>
                </c:pt>
                <c:pt idx="391">
                  <c:v>19.6499999999998</c:v>
                </c:pt>
                <c:pt idx="392">
                  <c:v>19.6999999999998</c:v>
                </c:pt>
                <c:pt idx="393">
                  <c:v>19.749999999999801</c:v>
                </c:pt>
                <c:pt idx="394">
                  <c:v>19.799999999999802</c:v>
                </c:pt>
                <c:pt idx="395">
                  <c:v>19.849999999999799</c:v>
                </c:pt>
                <c:pt idx="396">
                  <c:v>19.8999999999998</c:v>
                </c:pt>
                <c:pt idx="397">
                  <c:v>19.9499999999998</c:v>
                </c:pt>
                <c:pt idx="398">
                  <c:v>19.999999999999801</c:v>
                </c:pt>
                <c:pt idx="399">
                  <c:v>20.049999999999802</c:v>
                </c:pt>
                <c:pt idx="400">
                  <c:v>20.099999999999799</c:v>
                </c:pt>
                <c:pt idx="401">
                  <c:v>20.1499999999998</c:v>
                </c:pt>
                <c:pt idx="402">
                  <c:v>20.1999999999998</c:v>
                </c:pt>
                <c:pt idx="403">
                  <c:v>20.249999999999801</c:v>
                </c:pt>
                <c:pt idx="404">
                  <c:v>20.299999999999802</c:v>
                </c:pt>
                <c:pt idx="405">
                  <c:v>20.349999999999799</c:v>
                </c:pt>
                <c:pt idx="406">
                  <c:v>20.3999999999998</c:v>
                </c:pt>
                <c:pt idx="407">
                  <c:v>20.4499999999998</c:v>
                </c:pt>
                <c:pt idx="408">
                  <c:v>20.499999999999801</c:v>
                </c:pt>
                <c:pt idx="409">
                  <c:v>20.549999999999802</c:v>
                </c:pt>
                <c:pt idx="410">
                  <c:v>20.599999999999799</c:v>
                </c:pt>
                <c:pt idx="411">
                  <c:v>20.6499999999998</c:v>
                </c:pt>
                <c:pt idx="412">
                  <c:v>20.6999999999998</c:v>
                </c:pt>
                <c:pt idx="413">
                  <c:v>20.749999999999801</c:v>
                </c:pt>
                <c:pt idx="414">
                  <c:v>20.799999999999802</c:v>
                </c:pt>
                <c:pt idx="415">
                  <c:v>20.849999999999799</c:v>
                </c:pt>
                <c:pt idx="416">
                  <c:v>20.8999999999998</c:v>
                </c:pt>
                <c:pt idx="417">
                  <c:v>20.9499999999998</c:v>
                </c:pt>
                <c:pt idx="418">
                  <c:v>20.999999999999801</c:v>
                </c:pt>
                <c:pt idx="419">
                  <c:v>21.049999999999802</c:v>
                </c:pt>
                <c:pt idx="420">
                  <c:v>21.099999999999799</c:v>
                </c:pt>
                <c:pt idx="421">
                  <c:v>21.1499999999998</c:v>
                </c:pt>
                <c:pt idx="422">
                  <c:v>21.1999999999998</c:v>
                </c:pt>
                <c:pt idx="423">
                  <c:v>21.249999999999801</c:v>
                </c:pt>
                <c:pt idx="424">
                  <c:v>21.299999999999802</c:v>
                </c:pt>
                <c:pt idx="425">
                  <c:v>21.349999999999799</c:v>
                </c:pt>
                <c:pt idx="426">
                  <c:v>21.3999999999998</c:v>
                </c:pt>
                <c:pt idx="427">
                  <c:v>21.4499999999998</c:v>
                </c:pt>
                <c:pt idx="428">
                  <c:v>21.499999999999801</c:v>
                </c:pt>
                <c:pt idx="429">
                  <c:v>21.549999999999802</c:v>
                </c:pt>
                <c:pt idx="430">
                  <c:v>21.599999999999799</c:v>
                </c:pt>
                <c:pt idx="431">
                  <c:v>21.6499999999998</c:v>
                </c:pt>
                <c:pt idx="432">
                  <c:v>21.6999999999998</c:v>
                </c:pt>
                <c:pt idx="433">
                  <c:v>21.749999999999801</c:v>
                </c:pt>
                <c:pt idx="434">
                  <c:v>21.799999999999699</c:v>
                </c:pt>
                <c:pt idx="435">
                  <c:v>21.849999999999699</c:v>
                </c:pt>
                <c:pt idx="436">
                  <c:v>21.8999999999997</c:v>
                </c:pt>
                <c:pt idx="437">
                  <c:v>21.949999999999701</c:v>
                </c:pt>
                <c:pt idx="438">
                  <c:v>21.999999999999702</c:v>
                </c:pt>
                <c:pt idx="439">
                  <c:v>22.049999999999699</c:v>
                </c:pt>
                <c:pt idx="440">
                  <c:v>22.099999999999699</c:v>
                </c:pt>
                <c:pt idx="441">
                  <c:v>22.1499999999997</c:v>
                </c:pt>
                <c:pt idx="442">
                  <c:v>22.199999999999701</c:v>
                </c:pt>
                <c:pt idx="443">
                  <c:v>22.249999999999702</c:v>
                </c:pt>
                <c:pt idx="444">
                  <c:v>22.299999999999699</c:v>
                </c:pt>
                <c:pt idx="445">
                  <c:v>22.349999999999699</c:v>
                </c:pt>
                <c:pt idx="446">
                  <c:v>22.3999999999997</c:v>
                </c:pt>
                <c:pt idx="447">
                  <c:v>22.449999999999701</c:v>
                </c:pt>
                <c:pt idx="448">
                  <c:v>22.499999999999702</c:v>
                </c:pt>
                <c:pt idx="449">
                  <c:v>22.549999999999699</c:v>
                </c:pt>
                <c:pt idx="450">
                  <c:v>22.599999999999699</c:v>
                </c:pt>
                <c:pt idx="451">
                  <c:v>22.6499999999997</c:v>
                </c:pt>
                <c:pt idx="452">
                  <c:v>22.699999999999701</c:v>
                </c:pt>
                <c:pt idx="453">
                  <c:v>22.749999999999702</c:v>
                </c:pt>
                <c:pt idx="454">
                  <c:v>22.799999999999699</c:v>
                </c:pt>
                <c:pt idx="455">
                  <c:v>22.849999999999699</c:v>
                </c:pt>
                <c:pt idx="456">
                  <c:v>22.8999999999997</c:v>
                </c:pt>
                <c:pt idx="457">
                  <c:v>22.949999999999701</c:v>
                </c:pt>
                <c:pt idx="458">
                  <c:v>22.999999999999702</c:v>
                </c:pt>
                <c:pt idx="459">
                  <c:v>23.049999999999699</c:v>
                </c:pt>
                <c:pt idx="460">
                  <c:v>23.099999999999699</c:v>
                </c:pt>
                <c:pt idx="461">
                  <c:v>23.1499999999997</c:v>
                </c:pt>
                <c:pt idx="462">
                  <c:v>23.199999999999701</c:v>
                </c:pt>
                <c:pt idx="463">
                  <c:v>23.249999999999702</c:v>
                </c:pt>
                <c:pt idx="464">
                  <c:v>23.299999999999699</c:v>
                </c:pt>
                <c:pt idx="465">
                  <c:v>23.349999999999699</c:v>
                </c:pt>
                <c:pt idx="466">
                  <c:v>23.3999999999997</c:v>
                </c:pt>
                <c:pt idx="467">
                  <c:v>23.449999999999701</c:v>
                </c:pt>
                <c:pt idx="468">
                  <c:v>23.499999999999702</c:v>
                </c:pt>
                <c:pt idx="469">
                  <c:v>23.549999999999699</c:v>
                </c:pt>
                <c:pt idx="470">
                  <c:v>23.599999999999699</c:v>
                </c:pt>
                <c:pt idx="471">
                  <c:v>23.6499999999997</c:v>
                </c:pt>
                <c:pt idx="472">
                  <c:v>23.699999999999701</c:v>
                </c:pt>
                <c:pt idx="473">
                  <c:v>23.749999999999702</c:v>
                </c:pt>
                <c:pt idx="474">
                  <c:v>23.799999999999699</c:v>
                </c:pt>
                <c:pt idx="475">
                  <c:v>23.849999999999699</c:v>
                </c:pt>
                <c:pt idx="476">
                  <c:v>23.8999999999997</c:v>
                </c:pt>
                <c:pt idx="477">
                  <c:v>23.949999999999701</c:v>
                </c:pt>
                <c:pt idx="478">
                  <c:v>23.999999999999702</c:v>
                </c:pt>
                <c:pt idx="479">
                  <c:v>24.049999999999699</c:v>
                </c:pt>
                <c:pt idx="480">
                  <c:v>24.099999999999699</c:v>
                </c:pt>
                <c:pt idx="481">
                  <c:v>24.1499999999997</c:v>
                </c:pt>
                <c:pt idx="482">
                  <c:v>24.199999999999701</c:v>
                </c:pt>
                <c:pt idx="483">
                  <c:v>24.249999999999702</c:v>
                </c:pt>
                <c:pt idx="484">
                  <c:v>24.299999999999699</c:v>
                </c:pt>
                <c:pt idx="485">
                  <c:v>24.349999999999699</c:v>
                </c:pt>
                <c:pt idx="486">
                  <c:v>24.3999999999997</c:v>
                </c:pt>
                <c:pt idx="487">
                  <c:v>24.449999999999701</c:v>
                </c:pt>
                <c:pt idx="488">
                  <c:v>24.499999999999702</c:v>
                </c:pt>
                <c:pt idx="489">
                  <c:v>24.549999999999699</c:v>
                </c:pt>
                <c:pt idx="490">
                  <c:v>24.599999999999699</c:v>
                </c:pt>
                <c:pt idx="491">
                  <c:v>24.6499999999997</c:v>
                </c:pt>
                <c:pt idx="492">
                  <c:v>24.699999999999701</c:v>
                </c:pt>
                <c:pt idx="493">
                  <c:v>24.749999999999702</c:v>
                </c:pt>
                <c:pt idx="494">
                  <c:v>24.799999999999699</c:v>
                </c:pt>
                <c:pt idx="495">
                  <c:v>24.849999999999699</c:v>
                </c:pt>
                <c:pt idx="496">
                  <c:v>24.8999999999997</c:v>
                </c:pt>
                <c:pt idx="497">
                  <c:v>24.949999999999701</c:v>
                </c:pt>
                <c:pt idx="498">
                  <c:v>24.999999999999702</c:v>
                </c:pt>
                <c:pt idx="499">
                  <c:v>25.049999999999699</c:v>
                </c:pt>
                <c:pt idx="500">
                  <c:v>25.099999999999699</c:v>
                </c:pt>
                <c:pt idx="501">
                  <c:v>25.1499999999997</c:v>
                </c:pt>
                <c:pt idx="502">
                  <c:v>25.199999999999701</c:v>
                </c:pt>
                <c:pt idx="503">
                  <c:v>25.249999999999702</c:v>
                </c:pt>
                <c:pt idx="504">
                  <c:v>25.299999999999699</c:v>
                </c:pt>
                <c:pt idx="505">
                  <c:v>25.349999999999699</c:v>
                </c:pt>
                <c:pt idx="506">
                  <c:v>25.3999999999997</c:v>
                </c:pt>
                <c:pt idx="507">
                  <c:v>25.449999999999701</c:v>
                </c:pt>
                <c:pt idx="508">
                  <c:v>25.499999999999702</c:v>
                </c:pt>
                <c:pt idx="509">
                  <c:v>25.549999999999699</c:v>
                </c:pt>
                <c:pt idx="510">
                  <c:v>25.599999999999699</c:v>
                </c:pt>
                <c:pt idx="511">
                  <c:v>25.6499999999997</c:v>
                </c:pt>
                <c:pt idx="512">
                  <c:v>25.699999999999701</c:v>
                </c:pt>
                <c:pt idx="513">
                  <c:v>25.749999999999702</c:v>
                </c:pt>
                <c:pt idx="514">
                  <c:v>25.799999999999699</c:v>
                </c:pt>
                <c:pt idx="515">
                  <c:v>25.849999999999699</c:v>
                </c:pt>
                <c:pt idx="516">
                  <c:v>25.8999999999997</c:v>
                </c:pt>
                <c:pt idx="517">
                  <c:v>25.949999999999701</c:v>
                </c:pt>
                <c:pt idx="518">
                  <c:v>25.999999999999702</c:v>
                </c:pt>
                <c:pt idx="519">
                  <c:v>26.049999999999699</c:v>
                </c:pt>
                <c:pt idx="520">
                  <c:v>26.099999999999699</c:v>
                </c:pt>
                <c:pt idx="521">
                  <c:v>26.1499999999997</c:v>
                </c:pt>
                <c:pt idx="522">
                  <c:v>26.199999999999701</c:v>
                </c:pt>
                <c:pt idx="523">
                  <c:v>26.249999999999702</c:v>
                </c:pt>
                <c:pt idx="524">
                  <c:v>26.299999999999699</c:v>
                </c:pt>
                <c:pt idx="525">
                  <c:v>26.349999999999699</c:v>
                </c:pt>
                <c:pt idx="526">
                  <c:v>26.3999999999997</c:v>
                </c:pt>
                <c:pt idx="527">
                  <c:v>26.449999999999701</c:v>
                </c:pt>
                <c:pt idx="528">
                  <c:v>26.499999999999599</c:v>
                </c:pt>
                <c:pt idx="529">
                  <c:v>26.549999999999599</c:v>
                </c:pt>
                <c:pt idx="530">
                  <c:v>26.5999999999996</c:v>
                </c:pt>
                <c:pt idx="531">
                  <c:v>26.649999999999601</c:v>
                </c:pt>
                <c:pt idx="532">
                  <c:v>26.699999999999601</c:v>
                </c:pt>
                <c:pt idx="533">
                  <c:v>26.749999999999599</c:v>
                </c:pt>
                <c:pt idx="534">
                  <c:v>26.799999999999599</c:v>
                </c:pt>
                <c:pt idx="535">
                  <c:v>26.8499999999996</c:v>
                </c:pt>
                <c:pt idx="536">
                  <c:v>26.899999999999601</c:v>
                </c:pt>
                <c:pt idx="537">
                  <c:v>26.949999999999601</c:v>
                </c:pt>
                <c:pt idx="538">
                  <c:v>26.999999999999599</c:v>
                </c:pt>
                <c:pt idx="539">
                  <c:v>27.049999999999599</c:v>
                </c:pt>
                <c:pt idx="540">
                  <c:v>27.0999999999996</c:v>
                </c:pt>
                <c:pt idx="541">
                  <c:v>27.149999999999601</c:v>
                </c:pt>
                <c:pt idx="542">
                  <c:v>27.199999999999601</c:v>
                </c:pt>
                <c:pt idx="543">
                  <c:v>27.249999999999599</c:v>
                </c:pt>
                <c:pt idx="544">
                  <c:v>27.299999999999599</c:v>
                </c:pt>
                <c:pt idx="545">
                  <c:v>27.3499999999996</c:v>
                </c:pt>
                <c:pt idx="546">
                  <c:v>27.399999999999601</c:v>
                </c:pt>
                <c:pt idx="547">
                  <c:v>27.449999999999601</c:v>
                </c:pt>
                <c:pt idx="548">
                  <c:v>27.499999999999599</c:v>
                </c:pt>
                <c:pt idx="549">
                  <c:v>27.549999999999599</c:v>
                </c:pt>
                <c:pt idx="550">
                  <c:v>27.5999999999996</c:v>
                </c:pt>
                <c:pt idx="551">
                  <c:v>27.649999999999601</c:v>
                </c:pt>
                <c:pt idx="552">
                  <c:v>27.699999999999601</c:v>
                </c:pt>
                <c:pt idx="553">
                  <c:v>27.749999999999599</c:v>
                </c:pt>
                <c:pt idx="554">
                  <c:v>27.799999999999599</c:v>
                </c:pt>
                <c:pt idx="555">
                  <c:v>27.8499999999996</c:v>
                </c:pt>
                <c:pt idx="556">
                  <c:v>27.899999999999601</c:v>
                </c:pt>
                <c:pt idx="557">
                  <c:v>27.949999999999601</c:v>
                </c:pt>
                <c:pt idx="558">
                  <c:v>27.999999999999599</c:v>
                </c:pt>
                <c:pt idx="559">
                  <c:v>28.049999999999599</c:v>
                </c:pt>
                <c:pt idx="560">
                  <c:v>28.0999999999996</c:v>
                </c:pt>
                <c:pt idx="561">
                  <c:v>28.149999999999601</c:v>
                </c:pt>
                <c:pt idx="562">
                  <c:v>28.199999999999601</c:v>
                </c:pt>
                <c:pt idx="563">
                  <c:v>28.249999999999599</c:v>
                </c:pt>
                <c:pt idx="564">
                  <c:v>28.299999999999599</c:v>
                </c:pt>
                <c:pt idx="565">
                  <c:v>28.3499999999996</c:v>
                </c:pt>
                <c:pt idx="566">
                  <c:v>28.399999999999601</c:v>
                </c:pt>
                <c:pt idx="567">
                  <c:v>28.449999999999601</c:v>
                </c:pt>
                <c:pt idx="568">
                  <c:v>28.499999999999599</c:v>
                </c:pt>
                <c:pt idx="569">
                  <c:v>28.549999999999599</c:v>
                </c:pt>
                <c:pt idx="570">
                  <c:v>28.5999999999996</c:v>
                </c:pt>
                <c:pt idx="571">
                  <c:v>28.649999999999601</c:v>
                </c:pt>
                <c:pt idx="572">
                  <c:v>28.699999999999601</c:v>
                </c:pt>
                <c:pt idx="573">
                  <c:v>28.749999999999599</c:v>
                </c:pt>
                <c:pt idx="574">
                  <c:v>28.799999999999599</c:v>
                </c:pt>
                <c:pt idx="575">
                  <c:v>28.8499999999996</c:v>
                </c:pt>
                <c:pt idx="576">
                  <c:v>28.899999999999601</c:v>
                </c:pt>
                <c:pt idx="577">
                  <c:v>28.949999999999601</c:v>
                </c:pt>
                <c:pt idx="578">
                  <c:v>28.999999999999599</c:v>
                </c:pt>
                <c:pt idx="579">
                  <c:v>29.049999999999599</c:v>
                </c:pt>
                <c:pt idx="580">
                  <c:v>29.0999999999996</c:v>
                </c:pt>
                <c:pt idx="581">
                  <c:v>29.149999999999601</c:v>
                </c:pt>
                <c:pt idx="582">
                  <c:v>29.199999999999601</c:v>
                </c:pt>
                <c:pt idx="583">
                  <c:v>29.249999999999599</c:v>
                </c:pt>
                <c:pt idx="584">
                  <c:v>29.299999999999599</c:v>
                </c:pt>
                <c:pt idx="585">
                  <c:v>29.3499999999996</c:v>
                </c:pt>
                <c:pt idx="586">
                  <c:v>29.399999999999601</c:v>
                </c:pt>
                <c:pt idx="587">
                  <c:v>29.449999999999601</c:v>
                </c:pt>
                <c:pt idx="588">
                  <c:v>29.499999999999599</c:v>
                </c:pt>
                <c:pt idx="589">
                  <c:v>29.549999999999599</c:v>
                </c:pt>
                <c:pt idx="590">
                  <c:v>29.5999999999996</c:v>
                </c:pt>
                <c:pt idx="591">
                  <c:v>29.649999999999601</c:v>
                </c:pt>
                <c:pt idx="592">
                  <c:v>29.699999999999601</c:v>
                </c:pt>
                <c:pt idx="593">
                  <c:v>29.749999999999599</c:v>
                </c:pt>
                <c:pt idx="594">
                  <c:v>29.799999999999599</c:v>
                </c:pt>
                <c:pt idx="595">
                  <c:v>29.8499999999996</c:v>
                </c:pt>
                <c:pt idx="596">
                  <c:v>29.899999999999601</c:v>
                </c:pt>
                <c:pt idx="597">
                  <c:v>29.949999999999601</c:v>
                </c:pt>
                <c:pt idx="598">
                  <c:v>29.999999999999599</c:v>
                </c:pt>
                <c:pt idx="599">
                  <c:v>30.049999999999599</c:v>
                </c:pt>
                <c:pt idx="600">
                  <c:v>30.0999999999996</c:v>
                </c:pt>
                <c:pt idx="601">
                  <c:v>30.149999999999601</c:v>
                </c:pt>
                <c:pt idx="602">
                  <c:v>30.199999999999601</c:v>
                </c:pt>
                <c:pt idx="603">
                  <c:v>30.249999999999599</c:v>
                </c:pt>
                <c:pt idx="604">
                  <c:v>30.299999999999599</c:v>
                </c:pt>
                <c:pt idx="605">
                  <c:v>30.3499999999996</c:v>
                </c:pt>
                <c:pt idx="606">
                  <c:v>30.399999999999601</c:v>
                </c:pt>
                <c:pt idx="607">
                  <c:v>30.449999999999601</c:v>
                </c:pt>
                <c:pt idx="608">
                  <c:v>30.499999999999599</c:v>
                </c:pt>
                <c:pt idx="609">
                  <c:v>30.549999999999599</c:v>
                </c:pt>
                <c:pt idx="610">
                  <c:v>30.5999999999996</c:v>
                </c:pt>
                <c:pt idx="611">
                  <c:v>30.649999999999601</c:v>
                </c:pt>
                <c:pt idx="612">
                  <c:v>30.699999999999601</c:v>
                </c:pt>
                <c:pt idx="613">
                  <c:v>30.749999999999599</c:v>
                </c:pt>
                <c:pt idx="614">
                  <c:v>30.799999999999599</c:v>
                </c:pt>
                <c:pt idx="615">
                  <c:v>30.8499999999996</c:v>
                </c:pt>
                <c:pt idx="616">
                  <c:v>30.899999999999601</c:v>
                </c:pt>
                <c:pt idx="617">
                  <c:v>30.949999999999601</c:v>
                </c:pt>
                <c:pt idx="618">
                  <c:v>30.999999999999599</c:v>
                </c:pt>
                <c:pt idx="619">
                  <c:v>31.049999999999599</c:v>
                </c:pt>
                <c:pt idx="620">
                  <c:v>31.0999999999995</c:v>
                </c:pt>
                <c:pt idx="621">
                  <c:v>31.149999999999601</c:v>
                </c:pt>
                <c:pt idx="622">
                  <c:v>31.199999999999601</c:v>
                </c:pt>
                <c:pt idx="623">
                  <c:v>31.249999999999499</c:v>
                </c:pt>
                <c:pt idx="624">
                  <c:v>31.2999999999995</c:v>
                </c:pt>
                <c:pt idx="625">
                  <c:v>31.3499999999995</c:v>
                </c:pt>
                <c:pt idx="626">
                  <c:v>31.399999999999501</c:v>
                </c:pt>
                <c:pt idx="627">
                  <c:v>31.449999999999498</c:v>
                </c:pt>
                <c:pt idx="628">
                  <c:v>31.499999999999499</c:v>
                </c:pt>
                <c:pt idx="629">
                  <c:v>31.5499999999995</c:v>
                </c:pt>
                <c:pt idx="630">
                  <c:v>31.5999999999995</c:v>
                </c:pt>
                <c:pt idx="631">
                  <c:v>31.649999999999501</c:v>
                </c:pt>
                <c:pt idx="632">
                  <c:v>31.699999999999498</c:v>
                </c:pt>
                <c:pt idx="633">
                  <c:v>31.749999999999499</c:v>
                </c:pt>
                <c:pt idx="634">
                  <c:v>31.7999999999995</c:v>
                </c:pt>
                <c:pt idx="635">
                  <c:v>31.8499999999995</c:v>
                </c:pt>
                <c:pt idx="636">
                  <c:v>31.899999999999501</c:v>
                </c:pt>
                <c:pt idx="637">
                  <c:v>31.949999999999498</c:v>
                </c:pt>
                <c:pt idx="638">
                  <c:v>31.999999999999499</c:v>
                </c:pt>
                <c:pt idx="639">
                  <c:v>32.0499999999995</c:v>
                </c:pt>
                <c:pt idx="640">
                  <c:v>32.099999999999497</c:v>
                </c:pt>
                <c:pt idx="641">
                  <c:v>32.149999999999501</c:v>
                </c:pt>
                <c:pt idx="642">
                  <c:v>32.199999999999498</c:v>
                </c:pt>
                <c:pt idx="643">
                  <c:v>32.249999999999503</c:v>
                </c:pt>
                <c:pt idx="644">
                  <c:v>32.2999999999995</c:v>
                </c:pt>
                <c:pt idx="645">
                  <c:v>32.349999999999497</c:v>
                </c:pt>
                <c:pt idx="646">
                  <c:v>32.399999999999501</c:v>
                </c:pt>
                <c:pt idx="647">
                  <c:v>32.449999999999498</c:v>
                </c:pt>
                <c:pt idx="648">
                  <c:v>32.499999999999503</c:v>
                </c:pt>
                <c:pt idx="649">
                  <c:v>32.5499999999995</c:v>
                </c:pt>
                <c:pt idx="650">
                  <c:v>32.599999999999497</c:v>
                </c:pt>
                <c:pt idx="651">
                  <c:v>32.649999999999501</c:v>
                </c:pt>
                <c:pt idx="652">
                  <c:v>32.699999999999498</c:v>
                </c:pt>
                <c:pt idx="653">
                  <c:v>32.749999999999503</c:v>
                </c:pt>
                <c:pt idx="654">
                  <c:v>32.7999999999995</c:v>
                </c:pt>
                <c:pt idx="655">
                  <c:v>32.849999999999497</c:v>
                </c:pt>
                <c:pt idx="656">
                  <c:v>32.899999999999501</c:v>
                </c:pt>
                <c:pt idx="657">
                  <c:v>32.949999999999498</c:v>
                </c:pt>
                <c:pt idx="658">
                  <c:v>32.999999999999503</c:v>
                </c:pt>
                <c:pt idx="659">
                  <c:v>33.0499999999995</c:v>
                </c:pt>
                <c:pt idx="660">
                  <c:v>33.099999999999497</c:v>
                </c:pt>
                <c:pt idx="661">
                  <c:v>33.149999999999501</c:v>
                </c:pt>
                <c:pt idx="662">
                  <c:v>33.199999999999498</c:v>
                </c:pt>
                <c:pt idx="663">
                  <c:v>33.249999999999503</c:v>
                </c:pt>
                <c:pt idx="664">
                  <c:v>33.2999999999995</c:v>
                </c:pt>
                <c:pt idx="665">
                  <c:v>33.349999999999497</c:v>
                </c:pt>
                <c:pt idx="666">
                  <c:v>33.399999999999501</c:v>
                </c:pt>
                <c:pt idx="667">
                  <c:v>33.449999999999498</c:v>
                </c:pt>
                <c:pt idx="668">
                  <c:v>33.499999999999503</c:v>
                </c:pt>
                <c:pt idx="669">
                  <c:v>33.5499999999995</c:v>
                </c:pt>
                <c:pt idx="670">
                  <c:v>33.599999999999497</c:v>
                </c:pt>
                <c:pt idx="671">
                  <c:v>33.649999999999501</c:v>
                </c:pt>
                <c:pt idx="672">
                  <c:v>33.699999999999498</c:v>
                </c:pt>
                <c:pt idx="673">
                  <c:v>33.749999999999503</c:v>
                </c:pt>
                <c:pt idx="674">
                  <c:v>33.7999999999995</c:v>
                </c:pt>
                <c:pt idx="675">
                  <c:v>33.849999999999497</c:v>
                </c:pt>
                <c:pt idx="676">
                  <c:v>33.899999999999501</c:v>
                </c:pt>
                <c:pt idx="677">
                  <c:v>33.949999999999498</c:v>
                </c:pt>
                <c:pt idx="678">
                  <c:v>33.999999999999503</c:v>
                </c:pt>
                <c:pt idx="679">
                  <c:v>34.0499999999995</c:v>
                </c:pt>
                <c:pt idx="680">
                  <c:v>34.099999999999497</c:v>
                </c:pt>
                <c:pt idx="681">
                  <c:v>34.149999999999501</c:v>
                </c:pt>
                <c:pt idx="682">
                  <c:v>34.199999999999498</c:v>
                </c:pt>
                <c:pt idx="683">
                  <c:v>34.249999999999503</c:v>
                </c:pt>
                <c:pt idx="684">
                  <c:v>34.2999999999995</c:v>
                </c:pt>
                <c:pt idx="685">
                  <c:v>34.349999999999497</c:v>
                </c:pt>
                <c:pt idx="686">
                  <c:v>34.399999999999501</c:v>
                </c:pt>
                <c:pt idx="687">
                  <c:v>34.449999999999498</c:v>
                </c:pt>
                <c:pt idx="688">
                  <c:v>34.499999999999503</c:v>
                </c:pt>
                <c:pt idx="689">
                  <c:v>34.5499999999995</c:v>
                </c:pt>
                <c:pt idx="690">
                  <c:v>34.599999999999497</c:v>
                </c:pt>
                <c:pt idx="691">
                  <c:v>34.649999999999501</c:v>
                </c:pt>
                <c:pt idx="692">
                  <c:v>34.699999999999498</c:v>
                </c:pt>
                <c:pt idx="693">
                  <c:v>34.749999999999503</c:v>
                </c:pt>
                <c:pt idx="694">
                  <c:v>34.7999999999995</c:v>
                </c:pt>
                <c:pt idx="695">
                  <c:v>34.849999999999497</c:v>
                </c:pt>
                <c:pt idx="696">
                  <c:v>34.899999999999501</c:v>
                </c:pt>
                <c:pt idx="697">
                  <c:v>34.949999999999498</c:v>
                </c:pt>
                <c:pt idx="698">
                  <c:v>34.999999999999503</c:v>
                </c:pt>
                <c:pt idx="699">
                  <c:v>35.0499999999995</c:v>
                </c:pt>
                <c:pt idx="700">
                  <c:v>35.099999999999497</c:v>
                </c:pt>
                <c:pt idx="701">
                  <c:v>35.149999999999501</c:v>
                </c:pt>
                <c:pt idx="702">
                  <c:v>35.199999999999498</c:v>
                </c:pt>
                <c:pt idx="703">
                  <c:v>35.249999999999503</c:v>
                </c:pt>
                <c:pt idx="704">
                  <c:v>35.2999999999995</c:v>
                </c:pt>
                <c:pt idx="705">
                  <c:v>35.349999999999497</c:v>
                </c:pt>
                <c:pt idx="706">
                  <c:v>35.399999999999501</c:v>
                </c:pt>
                <c:pt idx="707">
                  <c:v>35.449999999999498</c:v>
                </c:pt>
                <c:pt idx="708">
                  <c:v>35.499999999999503</c:v>
                </c:pt>
                <c:pt idx="709">
                  <c:v>35.5499999999995</c:v>
                </c:pt>
                <c:pt idx="710">
                  <c:v>35.599999999999497</c:v>
                </c:pt>
                <c:pt idx="711">
                  <c:v>35.649999999999501</c:v>
                </c:pt>
                <c:pt idx="712">
                  <c:v>35.699999999999498</c:v>
                </c:pt>
                <c:pt idx="713">
                  <c:v>35.749999999999503</c:v>
                </c:pt>
                <c:pt idx="714">
                  <c:v>35.7999999999995</c:v>
                </c:pt>
                <c:pt idx="715">
                  <c:v>35.849999999999497</c:v>
                </c:pt>
                <c:pt idx="716">
                  <c:v>35.899999999999402</c:v>
                </c:pt>
                <c:pt idx="717">
                  <c:v>35.949999999999399</c:v>
                </c:pt>
                <c:pt idx="718">
                  <c:v>35.999999999999403</c:v>
                </c:pt>
                <c:pt idx="719">
                  <c:v>36.0499999999994</c:v>
                </c:pt>
                <c:pt idx="720">
                  <c:v>36.099999999999397</c:v>
                </c:pt>
                <c:pt idx="721">
                  <c:v>36.149999999999402</c:v>
                </c:pt>
                <c:pt idx="722">
                  <c:v>36.199999999999399</c:v>
                </c:pt>
                <c:pt idx="723">
                  <c:v>36.249999999999403</c:v>
                </c:pt>
                <c:pt idx="724">
                  <c:v>36.2999999999994</c:v>
                </c:pt>
                <c:pt idx="725">
                  <c:v>36.349999999999397</c:v>
                </c:pt>
                <c:pt idx="726">
                  <c:v>36.399999999999402</c:v>
                </c:pt>
                <c:pt idx="727">
                  <c:v>36.449999999999399</c:v>
                </c:pt>
                <c:pt idx="728">
                  <c:v>36.499999999999403</c:v>
                </c:pt>
                <c:pt idx="729">
                  <c:v>36.5499999999994</c:v>
                </c:pt>
                <c:pt idx="730">
                  <c:v>36.599999999999397</c:v>
                </c:pt>
                <c:pt idx="731">
                  <c:v>36.649999999999402</c:v>
                </c:pt>
                <c:pt idx="732">
                  <c:v>36.699999999999399</c:v>
                </c:pt>
                <c:pt idx="733">
                  <c:v>36.749999999999403</c:v>
                </c:pt>
                <c:pt idx="734">
                  <c:v>36.7999999999994</c:v>
                </c:pt>
                <c:pt idx="735">
                  <c:v>36.849999999999397</c:v>
                </c:pt>
                <c:pt idx="736">
                  <c:v>36.899999999999402</c:v>
                </c:pt>
                <c:pt idx="737">
                  <c:v>36.949999999999399</c:v>
                </c:pt>
                <c:pt idx="738">
                  <c:v>36.999999999999403</c:v>
                </c:pt>
                <c:pt idx="739">
                  <c:v>37.0499999999994</c:v>
                </c:pt>
                <c:pt idx="740">
                  <c:v>37.099999999999397</c:v>
                </c:pt>
                <c:pt idx="741">
                  <c:v>37.149999999999402</c:v>
                </c:pt>
                <c:pt idx="742">
                  <c:v>37.199999999999399</c:v>
                </c:pt>
                <c:pt idx="743">
                  <c:v>37.249999999999403</c:v>
                </c:pt>
                <c:pt idx="744">
                  <c:v>37.2999999999994</c:v>
                </c:pt>
                <c:pt idx="745">
                  <c:v>37.349999999999397</c:v>
                </c:pt>
                <c:pt idx="746">
                  <c:v>37.399999999999402</c:v>
                </c:pt>
                <c:pt idx="747">
                  <c:v>37.449999999999399</c:v>
                </c:pt>
                <c:pt idx="748">
                  <c:v>37.499999999999403</c:v>
                </c:pt>
                <c:pt idx="749">
                  <c:v>37.5499999999994</c:v>
                </c:pt>
                <c:pt idx="750">
                  <c:v>37.599999999999397</c:v>
                </c:pt>
                <c:pt idx="751">
                  <c:v>37.649999999999402</c:v>
                </c:pt>
                <c:pt idx="752">
                  <c:v>37.699999999999399</c:v>
                </c:pt>
                <c:pt idx="753">
                  <c:v>37.749999999999403</c:v>
                </c:pt>
                <c:pt idx="754">
                  <c:v>37.7999999999994</c:v>
                </c:pt>
                <c:pt idx="755">
                  <c:v>37.849999999999397</c:v>
                </c:pt>
                <c:pt idx="756">
                  <c:v>37.899999999999402</c:v>
                </c:pt>
                <c:pt idx="757">
                  <c:v>37.949999999999399</c:v>
                </c:pt>
                <c:pt idx="758">
                  <c:v>37.999999999999403</c:v>
                </c:pt>
                <c:pt idx="759">
                  <c:v>38.0499999999994</c:v>
                </c:pt>
                <c:pt idx="760">
                  <c:v>38.099999999999397</c:v>
                </c:pt>
                <c:pt idx="761">
                  <c:v>38.149999999999402</c:v>
                </c:pt>
                <c:pt idx="762">
                  <c:v>38.199999999999399</c:v>
                </c:pt>
                <c:pt idx="763">
                  <c:v>38.249999999999403</c:v>
                </c:pt>
                <c:pt idx="764">
                  <c:v>38.2999999999994</c:v>
                </c:pt>
                <c:pt idx="765">
                  <c:v>38.349999999999397</c:v>
                </c:pt>
                <c:pt idx="766">
                  <c:v>38.399999999999402</c:v>
                </c:pt>
                <c:pt idx="767">
                  <c:v>38.449999999999399</c:v>
                </c:pt>
                <c:pt idx="768">
                  <c:v>38.499999999999403</c:v>
                </c:pt>
                <c:pt idx="769">
                  <c:v>38.5499999999994</c:v>
                </c:pt>
                <c:pt idx="770">
                  <c:v>38.599999999999397</c:v>
                </c:pt>
                <c:pt idx="771">
                  <c:v>38.649999999999402</c:v>
                </c:pt>
                <c:pt idx="772">
                  <c:v>38.699999999999399</c:v>
                </c:pt>
                <c:pt idx="773">
                  <c:v>38.749999999999403</c:v>
                </c:pt>
                <c:pt idx="774">
                  <c:v>38.7999999999994</c:v>
                </c:pt>
                <c:pt idx="775">
                  <c:v>38.849999999999397</c:v>
                </c:pt>
                <c:pt idx="776">
                  <c:v>38.899999999999402</c:v>
                </c:pt>
                <c:pt idx="777">
                  <c:v>38.949999999999399</c:v>
                </c:pt>
                <c:pt idx="778">
                  <c:v>38.999999999999403</c:v>
                </c:pt>
                <c:pt idx="779">
                  <c:v>39.0499999999994</c:v>
                </c:pt>
                <c:pt idx="780">
                  <c:v>39.099999999999397</c:v>
                </c:pt>
                <c:pt idx="781">
                  <c:v>39.149999999999402</c:v>
                </c:pt>
                <c:pt idx="782">
                  <c:v>39.199999999999399</c:v>
                </c:pt>
                <c:pt idx="783">
                  <c:v>39.249999999999403</c:v>
                </c:pt>
                <c:pt idx="784">
                  <c:v>39.2999999999994</c:v>
                </c:pt>
                <c:pt idx="785">
                  <c:v>39.349999999999397</c:v>
                </c:pt>
                <c:pt idx="786">
                  <c:v>39.399999999999402</c:v>
                </c:pt>
                <c:pt idx="787">
                  <c:v>39.449999999999399</c:v>
                </c:pt>
                <c:pt idx="788">
                  <c:v>39.499999999999403</c:v>
                </c:pt>
                <c:pt idx="789">
                  <c:v>39.5499999999994</c:v>
                </c:pt>
                <c:pt idx="790">
                  <c:v>39.599999999999397</c:v>
                </c:pt>
                <c:pt idx="791">
                  <c:v>39.649999999999402</c:v>
                </c:pt>
                <c:pt idx="792">
                  <c:v>39.699999999999399</c:v>
                </c:pt>
                <c:pt idx="793">
                  <c:v>39.749999999999403</c:v>
                </c:pt>
                <c:pt idx="794">
                  <c:v>39.7999999999994</c:v>
                </c:pt>
                <c:pt idx="795">
                  <c:v>39.849999999999397</c:v>
                </c:pt>
                <c:pt idx="796">
                  <c:v>39.899999999999402</c:v>
                </c:pt>
                <c:pt idx="797">
                  <c:v>39.949999999999399</c:v>
                </c:pt>
                <c:pt idx="798">
                  <c:v>39.999999999999403</c:v>
                </c:pt>
                <c:pt idx="799">
                  <c:v>40.0499999999994</c:v>
                </c:pt>
                <c:pt idx="800">
                  <c:v>40.099999999999397</c:v>
                </c:pt>
                <c:pt idx="801">
                  <c:v>40.149999999999402</c:v>
                </c:pt>
                <c:pt idx="802">
                  <c:v>40.199999999999399</c:v>
                </c:pt>
                <c:pt idx="803">
                  <c:v>40.249999999999403</c:v>
                </c:pt>
                <c:pt idx="804">
                  <c:v>40.2999999999994</c:v>
                </c:pt>
                <c:pt idx="805">
                  <c:v>40.349999999999397</c:v>
                </c:pt>
                <c:pt idx="806">
                  <c:v>40.399999999999402</c:v>
                </c:pt>
                <c:pt idx="807">
                  <c:v>40.449999999999399</c:v>
                </c:pt>
                <c:pt idx="808">
                  <c:v>40.499999999999297</c:v>
                </c:pt>
                <c:pt idx="809">
                  <c:v>40.549999999999301</c:v>
                </c:pt>
                <c:pt idx="810">
                  <c:v>40.599999999999397</c:v>
                </c:pt>
                <c:pt idx="811">
                  <c:v>40.649999999999302</c:v>
                </c:pt>
                <c:pt idx="812">
                  <c:v>40.699999999999299</c:v>
                </c:pt>
                <c:pt idx="813">
                  <c:v>40.749999999999297</c:v>
                </c:pt>
                <c:pt idx="814">
                  <c:v>40.799999999999301</c:v>
                </c:pt>
                <c:pt idx="815">
                  <c:v>40.849999999999298</c:v>
                </c:pt>
                <c:pt idx="816">
                  <c:v>40.899999999999302</c:v>
                </c:pt>
                <c:pt idx="817">
                  <c:v>40.949999999999299</c:v>
                </c:pt>
                <c:pt idx="818">
                  <c:v>40.999999999999297</c:v>
                </c:pt>
                <c:pt idx="819">
                  <c:v>41.049999999999301</c:v>
                </c:pt>
                <c:pt idx="820">
                  <c:v>41.099999999999298</c:v>
                </c:pt>
                <c:pt idx="821">
                  <c:v>41.149999999999302</c:v>
                </c:pt>
                <c:pt idx="822">
                  <c:v>41.199999999999299</c:v>
                </c:pt>
                <c:pt idx="823">
                  <c:v>41.249999999999297</c:v>
                </c:pt>
                <c:pt idx="824">
                  <c:v>41.299999999999301</c:v>
                </c:pt>
                <c:pt idx="825">
                  <c:v>41.349999999999298</c:v>
                </c:pt>
                <c:pt idx="826">
                  <c:v>41.399999999999302</c:v>
                </c:pt>
                <c:pt idx="827">
                  <c:v>41.449999999999299</c:v>
                </c:pt>
                <c:pt idx="828">
                  <c:v>41.499999999999297</c:v>
                </c:pt>
                <c:pt idx="829">
                  <c:v>41.549999999999301</c:v>
                </c:pt>
                <c:pt idx="830">
                  <c:v>41.599999999999298</c:v>
                </c:pt>
                <c:pt idx="831">
                  <c:v>41.649999999999302</c:v>
                </c:pt>
                <c:pt idx="832">
                  <c:v>41.699999999999299</c:v>
                </c:pt>
                <c:pt idx="833">
                  <c:v>41.749999999999297</c:v>
                </c:pt>
                <c:pt idx="834">
                  <c:v>41.799999999999301</c:v>
                </c:pt>
                <c:pt idx="835">
                  <c:v>41.849999999999298</c:v>
                </c:pt>
                <c:pt idx="836">
                  <c:v>41.899999999999302</c:v>
                </c:pt>
                <c:pt idx="837">
                  <c:v>41.949999999999299</c:v>
                </c:pt>
                <c:pt idx="838">
                  <c:v>41.999999999999297</c:v>
                </c:pt>
                <c:pt idx="839">
                  <c:v>42.049999999999301</c:v>
                </c:pt>
                <c:pt idx="840">
                  <c:v>42.099999999999298</c:v>
                </c:pt>
                <c:pt idx="841">
                  <c:v>42.149999999999302</c:v>
                </c:pt>
                <c:pt idx="842">
                  <c:v>42.199999999999299</c:v>
                </c:pt>
                <c:pt idx="843">
                  <c:v>42.249999999999297</c:v>
                </c:pt>
                <c:pt idx="844">
                  <c:v>42.299999999999301</c:v>
                </c:pt>
                <c:pt idx="845">
                  <c:v>42.349999999999298</c:v>
                </c:pt>
                <c:pt idx="846">
                  <c:v>42.399999999999302</c:v>
                </c:pt>
                <c:pt idx="847">
                  <c:v>42.449999999999299</c:v>
                </c:pt>
                <c:pt idx="848">
                  <c:v>42.499999999999297</c:v>
                </c:pt>
                <c:pt idx="849">
                  <c:v>42.549999999999301</c:v>
                </c:pt>
                <c:pt idx="850">
                  <c:v>42.599999999999298</c:v>
                </c:pt>
                <c:pt idx="851">
                  <c:v>42.649999999999302</c:v>
                </c:pt>
                <c:pt idx="852">
                  <c:v>42.699999999999299</c:v>
                </c:pt>
                <c:pt idx="853">
                  <c:v>42.749999999999297</c:v>
                </c:pt>
                <c:pt idx="854">
                  <c:v>42.799999999999301</c:v>
                </c:pt>
                <c:pt idx="855">
                  <c:v>42.849999999999298</c:v>
                </c:pt>
                <c:pt idx="856">
                  <c:v>42.899999999999302</c:v>
                </c:pt>
                <c:pt idx="857">
                  <c:v>42.949999999999299</c:v>
                </c:pt>
                <c:pt idx="858">
                  <c:v>42.999999999999297</c:v>
                </c:pt>
                <c:pt idx="859">
                  <c:v>43.049999999999301</c:v>
                </c:pt>
                <c:pt idx="860">
                  <c:v>43.099999999999298</c:v>
                </c:pt>
                <c:pt idx="861">
                  <c:v>43.149999999999302</c:v>
                </c:pt>
                <c:pt idx="862">
                  <c:v>43.199999999999299</c:v>
                </c:pt>
                <c:pt idx="863">
                  <c:v>43.249999999999297</c:v>
                </c:pt>
                <c:pt idx="864">
                  <c:v>43.299999999999301</c:v>
                </c:pt>
                <c:pt idx="865">
                  <c:v>43.349999999999298</c:v>
                </c:pt>
                <c:pt idx="866">
                  <c:v>43.399999999999302</c:v>
                </c:pt>
                <c:pt idx="867">
                  <c:v>43.449999999999299</c:v>
                </c:pt>
                <c:pt idx="868">
                  <c:v>43.499999999999297</c:v>
                </c:pt>
                <c:pt idx="869">
                  <c:v>43.549999999999301</c:v>
                </c:pt>
                <c:pt idx="870">
                  <c:v>43.599999999999298</c:v>
                </c:pt>
                <c:pt idx="871">
                  <c:v>43.649999999999302</c:v>
                </c:pt>
                <c:pt idx="872">
                  <c:v>43.699999999999299</c:v>
                </c:pt>
                <c:pt idx="873">
                  <c:v>43.749999999999297</c:v>
                </c:pt>
                <c:pt idx="874">
                  <c:v>43.799999999999301</c:v>
                </c:pt>
                <c:pt idx="875">
                  <c:v>43.849999999999298</c:v>
                </c:pt>
                <c:pt idx="876">
                  <c:v>43.899999999999302</c:v>
                </c:pt>
                <c:pt idx="877">
                  <c:v>43.949999999999299</c:v>
                </c:pt>
                <c:pt idx="878">
                  <c:v>43.999999999999297</c:v>
                </c:pt>
                <c:pt idx="879">
                  <c:v>44.049999999999301</c:v>
                </c:pt>
                <c:pt idx="880">
                  <c:v>44.099999999999298</c:v>
                </c:pt>
                <c:pt idx="881">
                  <c:v>44.149999999999302</c:v>
                </c:pt>
                <c:pt idx="882">
                  <c:v>44.199999999999299</c:v>
                </c:pt>
                <c:pt idx="883">
                  <c:v>44.249999999999297</c:v>
                </c:pt>
                <c:pt idx="884">
                  <c:v>44.299999999999301</c:v>
                </c:pt>
                <c:pt idx="885">
                  <c:v>44.349999999999298</c:v>
                </c:pt>
                <c:pt idx="886">
                  <c:v>44.399999999999302</c:v>
                </c:pt>
                <c:pt idx="887">
                  <c:v>44.449999999999299</c:v>
                </c:pt>
                <c:pt idx="888">
                  <c:v>44.499999999999297</c:v>
                </c:pt>
                <c:pt idx="889">
                  <c:v>44.549999999999301</c:v>
                </c:pt>
                <c:pt idx="890">
                  <c:v>44.599999999999298</c:v>
                </c:pt>
                <c:pt idx="891">
                  <c:v>44.649999999999302</c:v>
                </c:pt>
                <c:pt idx="892">
                  <c:v>44.699999999999299</c:v>
                </c:pt>
                <c:pt idx="893">
                  <c:v>44.749999999999297</c:v>
                </c:pt>
                <c:pt idx="894">
                  <c:v>44.799999999999301</c:v>
                </c:pt>
                <c:pt idx="895">
                  <c:v>44.849999999999298</c:v>
                </c:pt>
                <c:pt idx="896">
                  <c:v>44.899999999999302</c:v>
                </c:pt>
                <c:pt idx="897">
                  <c:v>44.949999999999299</c:v>
                </c:pt>
                <c:pt idx="898">
                  <c:v>44.999999999999297</c:v>
                </c:pt>
                <c:pt idx="899">
                  <c:v>45.049999999999301</c:v>
                </c:pt>
                <c:pt idx="900">
                  <c:v>45.099999999999298</c:v>
                </c:pt>
                <c:pt idx="901">
                  <c:v>45.149999999999302</c:v>
                </c:pt>
                <c:pt idx="902">
                  <c:v>45.199999999999299</c:v>
                </c:pt>
                <c:pt idx="903">
                  <c:v>45.249999999999197</c:v>
                </c:pt>
                <c:pt idx="904">
                  <c:v>45.299999999999201</c:v>
                </c:pt>
                <c:pt idx="905">
                  <c:v>45.349999999999199</c:v>
                </c:pt>
                <c:pt idx="906">
                  <c:v>45.399999999999203</c:v>
                </c:pt>
                <c:pt idx="907">
                  <c:v>45.4499999999992</c:v>
                </c:pt>
                <c:pt idx="908">
                  <c:v>45.499999999999197</c:v>
                </c:pt>
                <c:pt idx="909">
                  <c:v>45.549999999999201</c:v>
                </c:pt>
                <c:pt idx="910">
                  <c:v>45.599999999999199</c:v>
                </c:pt>
                <c:pt idx="911">
                  <c:v>45.649999999999203</c:v>
                </c:pt>
                <c:pt idx="912">
                  <c:v>45.6999999999992</c:v>
                </c:pt>
                <c:pt idx="913">
                  <c:v>45.749999999999197</c:v>
                </c:pt>
                <c:pt idx="914">
                  <c:v>45.799999999999201</c:v>
                </c:pt>
                <c:pt idx="915">
                  <c:v>45.849999999999199</c:v>
                </c:pt>
                <c:pt idx="916">
                  <c:v>45.899999999999203</c:v>
                </c:pt>
                <c:pt idx="917">
                  <c:v>45.9499999999992</c:v>
                </c:pt>
                <c:pt idx="918">
                  <c:v>45.999999999999197</c:v>
                </c:pt>
                <c:pt idx="919">
                  <c:v>46.049999999999201</c:v>
                </c:pt>
                <c:pt idx="920">
                  <c:v>46.099999999999199</c:v>
                </c:pt>
                <c:pt idx="921">
                  <c:v>46.149999999999203</c:v>
                </c:pt>
                <c:pt idx="922">
                  <c:v>46.1999999999992</c:v>
                </c:pt>
                <c:pt idx="923">
                  <c:v>46.249999999999197</c:v>
                </c:pt>
                <c:pt idx="924">
                  <c:v>46.299999999999201</c:v>
                </c:pt>
                <c:pt idx="925">
                  <c:v>46.349999999999199</c:v>
                </c:pt>
                <c:pt idx="926">
                  <c:v>46.399999999999203</c:v>
                </c:pt>
                <c:pt idx="927">
                  <c:v>46.4499999999992</c:v>
                </c:pt>
                <c:pt idx="928">
                  <c:v>46.499999999999197</c:v>
                </c:pt>
                <c:pt idx="929">
                  <c:v>46.549999999999201</c:v>
                </c:pt>
                <c:pt idx="930">
                  <c:v>46.599999999999199</c:v>
                </c:pt>
                <c:pt idx="931">
                  <c:v>46.649999999999203</c:v>
                </c:pt>
                <c:pt idx="932">
                  <c:v>46.6999999999992</c:v>
                </c:pt>
                <c:pt idx="933">
                  <c:v>46.749999999999197</c:v>
                </c:pt>
                <c:pt idx="934">
                  <c:v>46.799999999999201</c:v>
                </c:pt>
                <c:pt idx="935">
                  <c:v>46.849999999999199</c:v>
                </c:pt>
                <c:pt idx="936">
                  <c:v>46.899999999999203</c:v>
                </c:pt>
                <c:pt idx="937">
                  <c:v>46.9499999999992</c:v>
                </c:pt>
                <c:pt idx="938">
                  <c:v>46.999999999999197</c:v>
                </c:pt>
                <c:pt idx="939">
                  <c:v>47.049999999999201</c:v>
                </c:pt>
                <c:pt idx="940">
                  <c:v>47.099999999999199</c:v>
                </c:pt>
                <c:pt idx="941">
                  <c:v>47.149999999999203</c:v>
                </c:pt>
                <c:pt idx="942">
                  <c:v>47.1999999999992</c:v>
                </c:pt>
                <c:pt idx="943">
                  <c:v>47.249999999999197</c:v>
                </c:pt>
                <c:pt idx="944">
                  <c:v>47.299999999999201</c:v>
                </c:pt>
                <c:pt idx="945">
                  <c:v>47.349999999999199</c:v>
                </c:pt>
                <c:pt idx="946">
                  <c:v>47.399999999999203</c:v>
                </c:pt>
                <c:pt idx="947">
                  <c:v>47.4499999999992</c:v>
                </c:pt>
                <c:pt idx="948">
                  <c:v>47.499999999999197</c:v>
                </c:pt>
                <c:pt idx="949">
                  <c:v>47.549999999999201</c:v>
                </c:pt>
                <c:pt idx="950">
                  <c:v>47.599999999999199</c:v>
                </c:pt>
                <c:pt idx="951">
                  <c:v>47.649999999999203</c:v>
                </c:pt>
                <c:pt idx="952">
                  <c:v>47.6999999999992</c:v>
                </c:pt>
                <c:pt idx="953">
                  <c:v>47.749999999999197</c:v>
                </c:pt>
                <c:pt idx="954">
                  <c:v>47.799999999999201</c:v>
                </c:pt>
                <c:pt idx="955">
                  <c:v>47.849999999999199</c:v>
                </c:pt>
                <c:pt idx="956">
                  <c:v>47.899999999999203</c:v>
                </c:pt>
                <c:pt idx="957">
                  <c:v>47.9499999999992</c:v>
                </c:pt>
                <c:pt idx="958">
                  <c:v>47.999999999999197</c:v>
                </c:pt>
                <c:pt idx="959">
                  <c:v>48.049999999999201</c:v>
                </c:pt>
                <c:pt idx="960">
                  <c:v>48.099999999999199</c:v>
                </c:pt>
                <c:pt idx="961">
                  <c:v>48.149999999999203</c:v>
                </c:pt>
                <c:pt idx="962">
                  <c:v>48.1999999999992</c:v>
                </c:pt>
                <c:pt idx="963">
                  <c:v>48.249999999999197</c:v>
                </c:pt>
                <c:pt idx="964">
                  <c:v>48.299999999999201</c:v>
                </c:pt>
                <c:pt idx="965">
                  <c:v>48.349999999999199</c:v>
                </c:pt>
                <c:pt idx="966">
                  <c:v>48.399999999999203</c:v>
                </c:pt>
                <c:pt idx="967">
                  <c:v>48.4499999999992</c:v>
                </c:pt>
                <c:pt idx="968">
                  <c:v>48.499999999999197</c:v>
                </c:pt>
                <c:pt idx="969">
                  <c:v>48.549999999999201</c:v>
                </c:pt>
                <c:pt idx="970">
                  <c:v>48.599999999999199</c:v>
                </c:pt>
                <c:pt idx="971">
                  <c:v>48.649999999999203</c:v>
                </c:pt>
                <c:pt idx="972">
                  <c:v>48.6999999999992</c:v>
                </c:pt>
                <c:pt idx="973">
                  <c:v>48.749999999999197</c:v>
                </c:pt>
                <c:pt idx="974">
                  <c:v>48.799999999999201</c:v>
                </c:pt>
                <c:pt idx="975">
                  <c:v>48.849999999999199</c:v>
                </c:pt>
                <c:pt idx="976">
                  <c:v>48.899999999999203</c:v>
                </c:pt>
                <c:pt idx="977">
                  <c:v>48.9499999999992</c:v>
                </c:pt>
                <c:pt idx="978">
                  <c:v>48.999999999999197</c:v>
                </c:pt>
                <c:pt idx="979">
                  <c:v>49.049999999999201</c:v>
                </c:pt>
                <c:pt idx="980">
                  <c:v>49.099999999999199</c:v>
                </c:pt>
                <c:pt idx="981">
                  <c:v>49.149999999999203</c:v>
                </c:pt>
                <c:pt idx="982">
                  <c:v>49.1999999999992</c:v>
                </c:pt>
                <c:pt idx="983">
                  <c:v>49.249999999999197</c:v>
                </c:pt>
                <c:pt idx="984">
                  <c:v>49.299999999999201</c:v>
                </c:pt>
                <c:pt idx="985">
                  <c:v>49.349999999999199</c:v>
                </c:pt>
                <c:pt idx="986">
                  <c:v>49.399999999999203</c:v>
                </c:pt>
                <c:pt idx="987">
                  <c:v>49.4499999999992</c:v>
                </c:pt>
                <c:pt idx="988">
                  <c:v>49.499999999999197</c:v>
                </c:pt>
                <c:pt idx="989">
                  <c:v>49.549999999999201</c:v>
                </c:pt>
                <c:pt idx="990">
                  <c:v>49.599999999999199</c:v>
                </c:pt>
                <c:pt idx="991">
                  <c:v>49.649999999999203</c:v>
                </c:pt>
                <c:pt idx="992">
                  <c:v>49.6999999999992</c:v>
                </c:pt>
                <c:pt idx="993">
                  <c:v>49.749999999999197</c:v>
                </c:pt>
                <c:pt idx="994">
                  <c:v>49.799999999999201</c:v>
                </c:pt>
                <c:pt idx="995">
                  <c:v>49.849999999999199</c:v>
                </c:pt>
                <c:pt idx="996">
                  <c:v>49.899999999999103</c:v>
                </c:pt>
                <c:pt idx="997">
                  <c:v>49.9499999999992</c:v>
                </c:pt>
                <c:pt idx="998">
                  <c:v>49.999999999999197</c:v>
                </c:pt>
                <c:pt idx="999">
                  <c:v>50.049999999999102</c:v>
                </c:pt>
                <c:pt idx="1000">
                  <c:v>50.099999999999099</c:v>
                </c:pt>
                <c:pt idx="1001">
                  <c:v>50.149999999999103</c:v>
                </c:pt>
                <c:pt idx="1002">
                  <c:v>50.1999999999991</c:v>
                </c:pt>
                <c:pt idx="1003">
                  <c:v>50.249999999999098</c:v>
                </c:pt>
                <c:pt idx="1004">
                  <c:v>50.299999999999102</c:v>
                </c:pt>
                <c:pt idx="1005">
                  <c:v>50.349999999999099</c:v>
                </c:pt>
                <c:pt idx="1006">
                  <c:v>50.399999999999103</c:v>
                </c:pt>
                <c:pt idx="1007">
                  <c:v>50.4499999999991</c:v>
                </c:pt>
                <c:pt idx="1008">
                  <c:v>50.499999999999098</c:v>
                </c:pt>
                <c:pt idx="1009">
                  <c:v>50.549999999999102</c:v>
                </c:pt>
                <c:pt idx="1010">
                  <c:v>50.599999999999099</c:v>
                </c:pt>
                <c:pt idx="1011">
                  <c:v>50.649999999999103</c:v>
                </c:pt>
                <c:pt idx="1012">
                  <c:v>50.6999999999991</c:v>
                </c:pt>
                <c:pt idx="1013">
                  <c:v>50.749999999999098</c:v>
                </c:pt>
                <c:pt idx="1014">
                  <c:v>50.799999999999102</c:v>
                </c:pt>
                <c:pt idx="1015">
                  <c:v>50.849999999999099</c:v>
                </c:pt>
                <c:pt idx="1016">
                  <c:v>50.899999999999103</c:v>
                </c:pt>
                <c:pt idx="1017">
                  <c:v>50.9499999999991</c:v>
                </c:pt>
                <c:pt idx="1018">
                  <c:v>50.999999999999098</c:v>
                </c:pt>
                <c:pt idx="1019">
                  <c:v>51.049999999999102</c:v>
                </c:pt>
                <c:pt idx="1020">
                  <c:v>51.099999999999099</c:v>
                </c:pt>
                <c:pt idx="1021">
                  <c:v>51.149999999999103</c:v>
                </c:pt>
                <c:pt idx="1022">
                  <c:v>51.1999999999991</c:v>
                </c:pt>
                <c:pt idx="1023">
                  <c:v>51.249999999999098</c:v>
                </c:pt>
                <c:pt idx="1024">
                  <c:v>51.299999999999102</c:v>
                </c:pt>
                <c:pt idx="1025">
                  <c:v>51.349999999999099</c:v>
                </c:pt>
                <c:pt idx="1026">
                  <c:v>51.399999999999103</c:v>
                </c:pt>
                <c:pt idx="1027">
                  <c:v>51.4499999999991</c:v>
                </c:pt>
                <c:pt idx="1028">
                  <c:v>51.499999999999098</c:v>
                </c:pt>
                <c:pt idx="1029">
                  <c:v>51.549999999999102</c:v>
                </c:pt>
                <c:pt idx="1030">
                  <c:v>51.599999999999099</c:v>
                </c:pt>
                <c:pt idx="1031">
                  <c:v>51.649999999999103</c:v>
                </c:pt>
                <c:pt idx="1032">
                  <c:v>51.6999999999991</c:v>
                </c:pt>
                <c:pt idx="1033">
                  <c:v>51.749999999999098</c:v>
                </c:pt>
                <c:pt idx="1034">
                  <c:v>51.799999999999102</c:v>
                </c:pt>
                <c:pt idx="1035">
                  <c:v>51.849999999999099</c:v>
                </c:pt>
                <c:pt idx="1036">
                  <c:v>51.899999999999103</c:v>
                </c:pt>
                <c:pt idx="1037">
                  <c:v>51.9499999999991</c:v>
                </c:pt>
                <c:pt idx="1038">
                  <c:v>51.999999999999098</c:v>
                </c:pt>
                <c:pt idx="1039">
                  <c:v>52.049999999999102</c:v>
                </c:pt>
                <c:pt idx="1040">
                  <c:v>52.099999999999099</c:v>
                </c:pt>
                <c:pt idx="1041">
                  <c:v>52.149999999999103</c:v>
                </c:pt>
                <c:pt idx="1042">
                  <c:v>52.1999999999991</c:v>
                </c:pt>
                <c:pt idx="1043">
                  <c:v>52.249999999999098</c:v>
                </c:pt>
                <c:pt idx="1044">
                  <c:v>52.299999999999102</c:v>
                </c:pt>
                <c:pt idx="1045">
                  <c:v>52.349999999999099</c:v>
                </c:pt>
                <c:pt idx="1046">
                  <c:v>52.399999999999103</c:v>
                </c:pt>
                <c:pt idx="1047">
                  <c:v>52.4499999999991</c:v>
                </c:pt>
                <c:pt idx="1048">
                  <c:v>52.499999999999098</c:v>
                </c:pt>
                <c:pt idx="1049">
                  <c:v>52.549999999999102</c:v>
                </c:pt>
                <c:pt idx="1050">
                  <c:v>52.599999999999099</c:v>
                </c:pt>
                <c:pt idx="1051">
                  <c:v>52.649999999999103</c:v>
                </c:pt>
                <c:pt idx="1052">
                  <c:v>52.6999999999991</c:v>
                </c:pt>
                <c:pt idx="1053">
                  <c:v>52.749999999999098</c:v>
                </c:pt>
                <c:pt idx="1054">
                  <c:v>52.799999999999102</c:v>
                </c:pt>
                <c:pt idx="1055">
                  <c:v>52.849999999999099</c:v>
                </c:pt>
                <c:pt idx="1056">
                  <c:v>52.899999999999103</c:v>
                </c:pt>
                <c:pt idx="1057">
                  <c:v>52.9499999999991</c:v>
                </c:pt>
                <c:pt idx="1058">
                  <c:v>52.999999999999098</c:v>
                </c:pt>
                <c:pt idx="1059">
                  <c:v>53.049999999999102</c:v>
                </c:pt>
                <c:pt idx="1060">
                  <c:v>53.099999999999099</c:v>
                </c:pt>
                <c:pt idx="1061">
                  <c:v>53.149999999999103</c:v>
                </c:pt>
                <c:pt idx="1062">
                  <c:v>53.1999999999991</c:v>
                </c:pt>
                <c:pt idx="1063">
                  <c:v>53.249999999999098</c:v>
                </c:pt>
                <c:pt idx="1064">
                  <c:v>53.299999999999102</c:v>
                </c:pt>
                <c:pt idx="1065">
                  <c:v>53.349999999999099</c:v>
                </c:pt>
                <c:pt idx="1066">
                  <c:v>53.399999999999103</c:v>
                </c:pt>
                <c:pt idx="1067">
                  <c:v>53.4499999999991</c:v>
                </c:pt>
                <c:pt idx="1068">
                  <c:v>53.499999999999098</c:v>
                </c:pt>
                <c:pt idx="1069">
                  <c:v>53.549999999999102</c:v>
                </c:pt>
                <c:pt idx="1070">
                  <c:v>53.599999999999099</c:v>
                </c:pt>
                <c:pt idx="1071">
                  <c:v>53.649999999999103</c:v>
                </c:pt>
                <c:pt idx="1072">
                  <c:v>53.6999999999991</c:v>
                </c:pt>
                <c:pt idx="1073">
                  <c:v>53.749999999999098</c:v>
                </c:pt>
                <c:pt idx="1074">
                  <c:v>53.799999999999102</c:v>
                </c:pt>
                <c:pt idx="1075">
                  <c:v>53.849999999999099</c:v>
                </c:pt>
                <c:pt idx="1076">
                  <c:v>53.899999999999103</c:v>
                </c:pt>
                <c:pt idx="1077">
                  <c:v>53.9499999999991</c:v>
                </c:pt>
                <c:pt idx="1078">
                  <c:v>53.999999999999098</c:v>
                </c:pt>
                <c:pt idx="1079">
                  <c:v>54.049999999999102</c:v>
                </c:pt>
                <c:pt idx="1080">
                  <c:v>54.099999999999099</c:v>
                </c:pt>
                <c:pt idx="1081">
                  <c:v>54.149999999999103</c:v>
                </c:pt>
                <c:pt idx="1082">
                  <c:v>54.1999999999991</c:v>
                </c:pt>
                <c:pt idx="1083">
                  <c:v>54.249999999999098</c:v>
                </c:pt>
                <c:pt idx="1084">
                  <c:v>54.299999999999102</c:v>
                </c:pt>
                <c:pt idx="1085">
                  <c:v>54.349999999999099</c:v>
                </c:pt>
                <c:pt idx="1086">
                  <c:v>54.399999999999103</c:v>
                </c:pt>
                <c:pt idx="1087">
                  <c:v>54.4499999999991</c:v>
                </c:pt>
                <c:pt idx="1088">
                  <c:v>54.499999999999098</c:v>
                </c:pt>
                <c:pt idx="1089">
                  <c:v>54.549999999999002</c:v>
                </c:pt>
                <c:pt idx="1090">
                  <c:v>54.599999999999099</c:v>
                </c:pt>
                <c:pt idx="1091">
                  <c:v>54.649999999998997</c:v>
                </c:pt>
                <c:pt idx="1092">
                  <c:v>54.699999999999001</c:v>
                </c:pt>
                <c:pt idx="1093">
                  <c:v>54.749999999999098</c:v>
                </c:pt>
                <c:pt idx="1094">
                  <c:v>54.799999999999002</c:v>
                </c:pt>
                <c:pt idx="1095">
                  <c:v>54.849999999999</c:v>
                </c:pt>
                <c:pt idx="1096">
                  <c:v>54.899999999998997</c:v>
                </c:pt>
                <c:pt idx="1097">
                  <c:v>54.949999999999001</c:v>
                </c:pt>
                <c:pt idx="1098">
                  <c:v>54.999999999998998</c:v>
                </c:pt>
                <c:pt idx="1099">
                  <c:v>55.049999999999002</c:v>
                </c:pt>
                <c:pt idx="1100">
                  <c:v>55.099999999999</c:v>
                </c:pt>
                <c:pt idx="1101">
                  <c:v>55.149999999998997</c:v>
                </c:pt>
                <c:pt idx="1102">
                  <c:v>55.199999999999001</c:v>
                </c:pt>
                <c:pt idx="1103">
                  <c:v>55.249999999998998</c:v>
                </c:pt>
                <c:pt idx="1104">
                  <c:v>55.299999999999002</c:v>
                </c:pt>
                <c:pt idx="1105">
                  <c:v>55.349999999999</c:v>
                </c:pt>
                <c:pt idx="1106">
                  <c:v>55.399999999998997</c:v>
                </c:pt>
                <c:pt idx="1107">
                  <c:v>55.449999999999001</c:v>
                </c:pt>
                <c:pt idx="1108">
                  <c:v>55.499999999998998</c:v>
                </c:pt>
                <c:pt idx="1109">
                  <c:v>55.549999999999002</c:v>
                </c:pt>
                <c:pt idx="1110">
                  <c:v>55.599999999999</c:v>
                </c:pt>
                <c:pt idx="1111">
                  <c:v>55.649999999998997</c:v>
                </c:pt>
                <c:pt idx="1112">
                  <c:v>55.699999999999001</c:v>
                </c:pt>
                <c:pt idx="1113">
                  <c:v>55.749999999998998</c:v>
                </c:pt>
                <c:pt idx="1114">
                  <c:v>55.799999999999002</c:v>
                </c:pt>
                <c:pt idx="1115">
                  <c:v>55.849999999999</c:v>
                </c:pt>
                <c:pt idx="1116">
                  <c:v>55.899999999998997</c:v>
                </c:pt>
                <c:pt idx="1117">
                  <c:v>55.949999999999001</c:v>
                </c:pt>
                <c:pt idx="1118">
                  <c:v>55.999999999998998</c:v>
                </c:pt>
                <c:pt idx="1119">
                  <c:v>56.049999999999002</c:v>
                </c:pt>
                <c:pt idx="1120">
                  <c:v>56.099999999999</c:v>
                </c:pt>
                <c:pt idx="1121">
                  <c:v>56.149999999998997</c:v>
                </c:pt>
                <c:pt idx="1122">
                  <c:v>56.199999999999001</c:v>
                </c:pt>
                <c:pt idx="1123">
                  <c:v>56.249999999998998</c:v>
                </c:pt>
                <c:pt idx="1124">
                  <c:v>56.299999999999002</c:v>
                </c:pt>
                <c:pt idx="1125">
                  <c:v>56.349999999999</c:v>
                </c:pt>
                <c:pt idx="1126">
                  <c:v>56.399999999998997</c:v>
                </c:pt>
                <c:pt idx="1127">
                  <c:v>56.449999999999001</c:v>
                </c:pt>
                <c:pt idx="1128">
                  <c:v>56.499999999998998</c:v>
                </c:pt>
                <c:pt idx="1129">
                  <c:v>56.549999999999002</c:v>
                </c:pt>
                <c:pt idx="1130">
                  <c:v>56.599999999999</c:v>
                </c:pt>
                <c:pt idx="1131">
                  <c:v>56.649999999998997</c:v>
                </c:pt>
                <c:pt idx="1132">
                  <c:v>56.699999999999001</c:v>
                </c:pt>
                <c:pt idx="1133">
                  <c:v>56.749999999998998</c:v>
                </c:pt>
                <c:pt idx="1134">
                  <c:v>56.799999999999002</c:v>
                </c:pt>
                <c:pt idx="1135">
                  <c:v>56.849999999999</c:v>
                </c:pt>
                <c:pt idx="1136">
                  <c:v>56.899999999998997</c:v>
                </c:pt>
                <c:pt idx="1137">
                  <c:v>56.949999999999001</c:v>
                </c:pt>
                <c:pt idx="1138">
                  <c:v>56.999999999998998</c:v>
                </c:pt>
                <c:pt idx="1139">
                  <c:v>57.049999999999002</c:v>
                </c:pt>
                <c:pt idx="1140">
                  <c:v>57.099999999999</c:v>
                </c:pt>
                <c:pt idx="1141">
                  <c:v>57.149999999998997</c:v>
                </c:pt>
                <c:pt idx="1142">
                  <c:v>57.199999999999001</c:v>
                </c:pt>
                <c:pt idx="1143">
                  <c:v>57.249999999998998</c:v>
                </c:pt>
                <c:pt idx="1144">
                  <c:v>57.299999999999002</c:v>
                </c:pt>
                <c:pt idx="1145">
                  <c:v>57.349999999999</c:v>
                </c:pt>
                <c:pt idx="1146">
                  <c:v>57.399999999998997</c:v>
                </c:pt>
                <c:pt idx="1147">
                  <c:v>57.449999999999001</c:v>
                </c:pt>
                <c:pt idx="1148">
                  <c:v>57.499999999998998</c:v>
                </c:pt>
                <c:pt idx="1149">
                  <c:v>57.549999999999002</c:v>
                </c:pt>
                <c:pt idx="1150">
                  <c:v>57.599999999999</c:v>
                </c:pt>
                <c:pt idx="1151">
                  <c:v>57.649999999998997</c:v>
                </c:pt>
                <c:pt idx="1152">
                  <c:v>57.699999999999001</c:v>
                </c:pt>
                <c:pt idx="1153">
                  <c:v>57.749999999998998</c:v>
                </c:pt>
                <c:pt idx="1154">
                  <c:v>57.799999999999002</c:v>
                </c:pt>
                <c:pt idx="1155">
                  <c:v>57.849999999999</c:v>
                </c:pt>
                <c:pt idx="1156">
                  <c:v>57.899999999998997</c:v>
                </c:pt>
                <c:pt idx="1157">
                  <c:v>57.949999999999001</c:v>
                </c:pt>
                <c:pt idx="1158">
                  <c:v>57.999999999998998</c:v>
                </c:pt>
                <c:pt idx="1159">
                  <c:v>58.049999999999002</c:v>
                </c:pt>
                <c:pt idx="1160">
                  <c:v>58.099999999999</c:v>
                </c:pt>
                <c:pt idx="1161">
                  <c:v>58.149999999998997</c:v>
                </c:pt>
                <c:pt idx="1162">
                  <c:v>58.199999999999001</c:v>
                </c:pt>
                <c:pt idx="1163">
                  <c:v>58.249999999998998</c:v>
                </c:pt>
                <c:pt idx="1164">
                  <c:v>58.299999999999002</c:v>
                </c:pt>
                <c:pt idx="1165">
                  <c:v>58.349999999999</c:v>
                </c:pt>
                <c:pt idx="1166">
                  <c:v>58.399999999998997</c:v>
                </c:pt>
                <c:pt idx="1167">
                  <c:v>58.449999999999001</c:v>
                </c:pt>
                <c:pt idx="1168">
                  <c:v>58.499999999998998</c:v>
                </c:pt>
                <c:pt idx="1169">
                  <c:v>58.549999999999002</c:v>
                </c:pt>
                <c:pt idx="1170">
                  <c:v>58.599999999999</c:v>
                </c:pt>
                <c:pt idx="1171">
                  <c:v>58.649999999998997</c:v>
                </c:pt>
                <c:pt idx="1172">
                  <c:v>58.699999999999001</c:v>
                </c:pt>
                <c:pt idx="1173">
                  <c:v>58.749999999998998</c:v>
                </c:pt>
                <c:pt idx="1174">
                  <c:v>58.799999999999002</c:v>
                </c:pt>
                <c:pt idx="1175">
                  <c:v>58.849999999999</c:v>
                </c:pt>
                <c:pt idx="1176">
                  <c:v>58.899999999998997</c:v>
                </c:pt>
                <c:pt idx="1177">
                  <c:v>58.949999999999001</c:v>
                </c:pt>
                <c:pt idx="1178">
                  <c:v>58.999999999998998</c:v>
                </c:pt>
                <c:pt idx="1179">
                  <c:v>59.049999999999002</c:v>
                </c:pt>
                <c:pt idx="1180">
                  <c:v>59.099999999999</c:v>
                </c:pt>
                <c:pt idx="1181">
                  <c:v>59.149999999998997</c:v>
                </c:pt>
                <c:pt idx="1182">
                  <c:v>59.199999999999001</c:v>
                </c:pt>
                <c:pt idx="1183">
                  <c:v>59.249999999998998</c:v>
                </c:pt>
                <c:pt idx="1184">
                  <c:v>59.299999999998903</c:v>
                </c:pt>
                <c:pt idx="1185">
                  <c:v>59.3499999999989</c:v>
                </c:pt>
                <c:pt idx="1186">
                  <c:v>59.399999999998897</c:v>
                </c:pt>
                <c:pt idx="1187">
                  <c:v>59.449999999998902</c:v>
                </c:pt>
                <c:pt idx="1188">
                  <c:v>59.499999999998899</c:v>
                </c:pt>
                <c:pt idx="1189">
                  <c:v>59.549999999998903</c:v>
                </c:pt>
                <c:pt idx="1190">
                  <c:v>59.5999999999989</c:v>
                </c:pt>
                <c:pt idx="1191">
                  <c:v>59.649999999998897</c:v>
                </c:pt>
                <c:pt idx="1192">
                  <c:v>59.699999999998902</c:v>
                </c:pt>
                <c:pt idx="1193">
                  <c:v>59.749999999998899</c:v>
                </c:pt>
                <c:pt idx="1194">
                  <c:v>59.799999999998903</c:v>
                </c:pt>
                <c:pt idx="1195">
                  <c:v>59.8499999999989</c:v>
                </c:pt>
                <c:pt idx="1196">
                  <c:v>59.899999999998897</c:v>
                </c:pt>
                <c:pt idx="1197">
                  <c:v>59.949999999998902</c:v>
                </c:pt>
                <c:pt idx="1198">
                  <c:v>59.999999999998899</c:v>
                </c:pt>
                <c:pt idx="1199">
                  <c:v>60.049999999998903</c:v>
                </c:pt>
                <c:pt idx="1200">
                  <c:v>60.0999999999989</c:v>
                </c:pt>
                <c:pt idx="1201">
                  <c:v>60.149999999998897</c:v>
                </c:pt>
                <c:pt idx="1202">
                  <c:v>60.199999999998902</c:v>
                </c:pt>
                <c:pt idx="1203">
                  <c:v>60.249999999998899</c:v>
                </c:pt>
                <c:pt idx="1204">
                  <c:v>60.299999999998903</c:v>
                </c:pt>
                <c:pt idx="1205">
                  <c:v>60.3499999999989</c:v>
                </c:pt>
                <c:pt idx="1206">
                  <c:v>60.399999999998897</c:v>
                </c:pt>
                <c:pt idx="1207">
                  <c:v>60.449999999998902</c:v>
                </c:pt>
                <c:pt idx="1208">
                  <c:v>60.499999999998899</c:v>
                </c:pt>
                <c:pt idx="1209">
                  <c:v>60.549999999998903</c:v>
                </c:pt>
                <c:pt idx="1210">
                  <c:v>60.5999999999989</c:v>
                </c:pt>
                <c:pt idx="1211">
                  <c:v>60.649999999998897</c:v>
                </c:pt>
                <c:pt idx="1212">
                  <c:v>60.699999999998902</c:v>
                </c:pt>
                <c:pt idx="1213">
                  <c:v>60.749999999998899</c:v>
                </c:pt>
                <c:pt idx="1214">
                  <c:v>60.799999999998903</c:v>
                </c:pt>
                <c:pt idx="1215">
                  <c:v>60.8499999999989</c:v>
                </c:pt>
                <c:pt idx="1216">
                  <c:v>60.899999999998897</c:v>
                </c:pt>
                <c:pt idx="1217">
                  <c:v>60.949999999998902</c:v>
                </c:pt>
                <c:pt idx="1218">
                  <c:v>60.999999999998899</c:v>
                </c:pt>
                <c:pt idx="1219">
                  <c:v>61.049999999998903</c:v>
                </c:pt>
                <c:pt idx="1220">
                  <c:v>61.0999999999989</c:v>
                </c:pt>
                <c:pt idx="1221">
                  <c:v>61.149999999998897</c:v>
                </c:pt>
                <c:pt idx="1222">
                  <c:v>61.199999999998902</c:v>
                </c:pt>
                <c:pt idx="1223">
                  <c:v>61.249999999998899</c:v>
                </c:pt>
                <c:pt idx="1224">
                  <c:v>61.299999999998903</c:v>
                </c:pt>
                <c:pt idx="1225">
                  <c:v>61.3499999999989</c:v>
                </c:pt>
                <c:pt idx="1226">
                  <c:v>61.399999999998897</c:v>
                </c:pt>
                <c:pt idx="1227">
                  <c:v>61.449999999998902</c:v>
                </c:pt>
                <c:pt idx="1228">
                  <c:v>61.499999999998899</c:v>
                </c:pt>
                <c:pt idx="1229">
                  <c:v>61.549999999998903</c:v>
                </c:pt>
                <c:pt idx="1230">
                  <c:v>61.5999999999989</c:v>
                </c:pt>
                <c:pt idx="1231">
                  <c:v>61.649999999998897</c:v>
                </c:pt>
                <c:pt idx="1232">
                  <c:v>61.699999999998902</c:v>
                </c:pt>
                <c:pt idx="1233">
                  <c:v>61.749999999998899</c:v>
                </c:pt>
                <c:pt idx="1234">
                  <c:v>61.799999999998903</c:v>
                </c:pt>
                <c:pt idx="1235">
                  <c:v>61.8499999999989</c:v>
                </c:pt>
                <c:pt idx="1236">
                  <c:v>61.899999999998897</c:v>
                </c:pt>
                <c:pt idx="1237">
                  <c:v>61.949999999998902</c:v>
                </c:pt>
                <c:pt idx="1238">
                  <c:v>61.999999999998899</c:v>
                </c:pt>
                <c:pt idx="1239">
                  <c:v>62.049999999998903</c:v>
                </c:pt>
                <c:pt idx="1240">
                  <c:v>62.0999999999989</c:v>
                </c:pt>
                <c:pt idx="1241">
                  <c:v>62.149999999998897</c:v>
                </c:pt>
                <c:pt idx="1242">
                  <c:v>62.199999999998902</c:v>
                </c:pt>
                <c:pt idx="1243">
                  <c:v>62.249999999998899</c:v>
                </c:pt>
                <c:pt idx="1244">
                  <c:v>62.299999999998903</c:v>
                </c:pt>
                <c:pt idx="1245">
                  <c:v>62.3499999999989</c:v>
                </c:pt>
                <c:pt idx="1246">
                  <c:v>62.399999999998897</c:v>
                </c:pt>
                <c:pt idx="1247">
                  <c:v>62.449999999998902</c:v>
                </c:pt>
                <c:pt idx="1248">
                  <c:v>62.499999999998899</c:v>
                </c:pt>
                <c:pt idx="1249">
                  <c:v>62.549999999998903</c:v>
                </c:pt>
                <c:pt idx="1250">
                  <c:v>62.5999999999989</c:v>
                </c:pt>
                <c:pt idx="1251">
                  <c:v>62.649999999998897</c:v>
                </c:pt>
                <c:pt idx="1252">
                  <c:v>62.699999999998902</c:v>
                </c:pt>
                <c:pt idx="1253">
                  <c:v>62.749999999998899</c:v>
                </c:pt>
                <c:pt idx="1254">
                  <c:v>62.799999999998903</c:v>
                </c:pt>
                <c:pt idx="1255">
                  <c:v>62.8499999999989</c:v>
                </c:pt>
                <c:pt idx="1256">
                  <c:v>62.899999999998897</c:v>
                </c:pt>
                <c:pt idx="1257">
                  <c:v>62.949999999998902</c:v>
                </c:pt>
                <c:pt idx="1258">
                  <c:v>62.999999999998899</c:v>
                </c:pt>
                <c:pt idx="1259">
                  <c:v>63.049999999998903</c:v>
                </c:pt>
                <c:pt idx="1260">
                  <c:v>63.0999999999989</c:v>
                </c:pt>
                <c:pt idx="1261">
                  <c:v>63.149999999998897</c:v>
                </c:pt>
                <c:pt idx="1262">
                  <c:v>63.199999999998902</c:v>
                </c:pt>
                <c:pt idx="1263">
                  <c:v>63.249999999998899</c:v>
                </c:pt>
                <c:pt idx="1264">
                  <c:v>63.299999999998903</c:v>
                </c:pt>
                <c:pt idx="1265">
                  <c:v>63.3499999999989</c:v>
                </c:pt>
                <c:pt idx="1266">
                  <c:v>63.399999999998897</c:v>
                </c:pt>
                <c:pt idx="1267">
                  <c:v>63.449999999998902</c:v>
                </c:pt>
                <c:pt idx="1268">
                  <c:v>63.499999999998899</c:v>
                </c:pt>
                <c:pt idx="1269">
                  <c:v>63.549999999998903</c:v>
                </c:pt>
                <c:pt idx="1270">
                  <c:v>63.5999999999989</c:v>
                </c:pt>
                <c:pt idx="1271">
                  <c:v>63.649999999998897</c:v>
                </c:pt>
                <c:pt idx="1272">
                  <c:v>63.699999999998902</c:v>
                </c:pt>
                <c:pt idx="1273">
                  <c:v>63.749999999998899</c:v>
                </c:pt>
                <c:pt idx="1274">
                  <c:v>63.799999999998903</c:v>
                </c:pt>
                <c:pt idx="1275">
                  <c:v>63.8499999999989</c:v>
                </c:pt>
                <c:pt idx="1276">
                  <c:v>63.899999999998897</c:v>
                </c:pt>
                <c:pt idx="1277">
                  <c:v>63.949999999998902</c:v>
                </c:pt>
                <c:pt idx="1278">
                  <c:v>63.999999999998899</c:v>
                </c:pt>
                <c:pt idx="1279">
                  <c:v>64.049999999998803</c:v>
                </c:pt>
                <c:pt idx="1280">
                  <c:v>64.099999999998801</c:v>
                </c:pt>
                <c:pt idx="1281">
                  <c:v>64.149999999998798</c:v>
                </c:pt>
                <c:pt idx="1282">
                  <c:v>64.199999999998795</c:v>
                </c:pt>
                <c:pt idx="1283">
                  <c:v>64.249999999998806</c:v>
                </c:pt>
                <c:pt idx="1284">
                  <c:v>64.299999999998803</c:v>
                </c:pt>
                <c:pt idx="1285">
                  <c:v>64.349999999998801</c:v>
                </c:pt>
                <c:pt idx="1286">
                  <c:v>64.399999999998798</c:v>
                </c:pt>
                <c:pt idx="1287">
                  <c:v>64.449999999998795</c:v>
                </c:pt>
                <c:pt idx="1288">
                  <c:v>64.499999999998806</c:v>
                </c:pt>
                <c:pt idx="1289">
                  <c:v>64.549999999998803</c:v>
                </c:pt>
                <c:pt idx="1290">
                  <c:v>64.599999999998801</c:v>
                </c:pt>
                <c:pt idx="1291">
                  <c:v>64.649999999998798</c:v>
                </c:pt>
                <c:pt idx="1292">
                  <c:v>64.699999999998795</c:v>
                </c:pt>
                <c:pt idx="1293">
                  <c:v>64.749999999998806</c:v>
                </c:pt>
                <c:pt idx="1294">
                  <c:v>64.799999999998803</c:v>
                </c:pt>
                <c:pt idx="1295">
                  <c:v>64.849999999998801</c:v>
                </c:pt>
                <c:pt idx="1296">
                  <c:v>64.899999999998798</c:v>
                </c:pt>
                <c:pt idx="1297">
                  <c:v>64.949999999998795</c:v>
                </c:pt>
                <c:pt idx="1298">
                  <c:v>64.999999999998806</c:v>
                </c:pt>
                <c:pt idx="1299">
                  <c:v>65.049999999998803</c:v>
                </c:pt>
                <c:pt idx="1300">
                  <c:v>65.099999999998801</c:v>
                </c:pt>
                <c:pt idx="1301">
                  <c:v>65.149999999998798</c:v>
                </c:pt>
                <c:pt idx="1302">
                  <c:v>65.199999999998795</c:v>
                </c:pt>
                <c:pt idx="1303">
                  <c:v>65.249999999998806</c:v>
                </c:pt>
                <c:pt idx="1304">
                  <c:v>65.299999999998803</c:v>
                </c:pt>
                <c:pt idx="1305">
                  <c:v>65.349999999998801</c:v>
                </c:pt>
                <c:pt idx="1306">
                  <c:v>65.399999999998798</c:v>
                </c:pt>
                <c:pt idx="1307">
                  <c:v>65.449999999998795</c:v>
                </c:pt>
                <c:pt idx="1308">
                  <c:v>65.499999999998806</c:v>
                </c:pt>
                <c:pt idx="1309">
                  <c:v>65.549999999998803</c:v>
                </c:pt>
                <c:pt idx="1310">
                  <c:v>65.599999999998801</c:v>
                </c:pt>
                <c:pt idx="1311">
                  <c:v>65.649999999998798</c:v>
                </c:pt>
                <c:pt idx="1312">
                  <c:v>65.699999999998795</c:v>
                </c:pt>
                <c:pt idx="1313">
                  <c:v>65.749999999998806</c:v>
                </c:pt>
                <c:pt idx="1314">
                  <c:v>65.799999999998803</c:v>
                </c:pt>
                <c:pt idx="1315">
                  <c:v>65.849999999998801</c:v>
                </c:pt>
                <c:pt idx="1316">
                  <c:v>65.899999999998798</c:v>
                </c:pt>
                <c:pt idx="1317">
                  <c:v>65.949999999998795</c:v>
                </c:pt>
                <c:pt idx="1318">
                  <c:v>65.999999999998806</c:v>
                </c:pt>
                <c:pt idx="1319">
                  <c:v>66.049999999998803</c:v>
                </c:pt>
                <c:pt idx="1320">
                  <c:v>66.099999999998801</c:v>
                </c:pt>
                <c:pt idx="1321">
                  <c:v>66.149999999998798</c:v>
                </c:pt>
                <c:pt idx="1322">
                  <c:v>66.199999999998795</c:v>
                </c:pt>
                <c:pt idx="1323">
                  <c:v>66.249999999998806</c:v>
                </c:pt>
                <c:pt idx="1324">
                  <c:v>66.299999999998803</c:v>
                </c:pt>
                <c:pt idx="1325">
                  <c:v>66.349999999998801</c:v>
                </c:pt>
                <c:pt idx="1326">
                  <c:v>66.399999999998798</c:v>
                </c:pt>
                <c:pt idx="1327">
                  <c:v>66.449999999998795</c:v>
                </c:pt>
                <c:pt idx="1328">
                  <c:v>66.499999999998806</c:v>
                </c:pt>
                <c:pt idx="1329">
                  <c:v>66.549999999998803</c:v>
                </c:pt>
                <c:pt idx="1330">
                  <c:v>66.599999999998801</c:v>
                </c:pt>
                <c:pt idx="1331">
                  <c:v>66.649999999998798</c:v>
                </c:pt>
                <c:pt idx="1332">
                  <c:v>66.699999999998795</c:v>
                </c:pt>
                <c:pt idx="1333">
                  <c:v>66.749999999998806</c:v>
                </c:pt>
                <c:pt idx="1334">
                  <c:v>66.799999999998803</c:v>
                </c:pt>
                <c:pt idx="1335">
                  <c:v>66.849999999998801</c:v>
                </c:pt>
                <c:pt idx="1336">
                  <c:v>66.899999999998798</c:v>
                </c:pt>
                <c:pt idx="1337">
                  <c:v>66.949999999998795</c:v>
                </c:pt>
                <c:pt idx="1338">
                  <c:v>66.999999999998806</c:v>
                </c:pt>
                <c:pt idx="1339">
                  <c:v>67.049999999998803</c:v>
                </c:pt>
                <c:pt idx="1340">
                  <c:v>67.099999999998801</c:v>
                </c:pt>
                <c:pt idx="1341">
                  <c:v>67.149999999998798</c:v>
                </c:pt>
                <c:pt idx="1342">
                  <c:v>67.199999999998795</c:v>
                </c:pt>
                <c:pt idx="1343">
                  <c:v>67.249999999998806</c:v>
                </c:pt>
                <c:pt idx="1344">
                  <c:v>67.299999999998803</c:v>
                </c:pt>
                <c:pt idx="1345">
                  <c:v>67.349999999998801</c:v>
                </c:pt>
                <c:pt idx="1346">
                  <c:v>67.399999999998798</c:v>
                </c:pt>
                <c:pt idx="1347">
                  <c:v>67.449999999998795</c:v>
                </c:pt>
                <c:pt idx="1348">
                  <c:v>67.499999999998806</c:v>
                </c:pt>
                <c:pt idx="1349">
                  <c:v>67.549999999998803</c:v>
                </c:pt>
                <c:pt idx="1350">
                  <c:v>67.599999999998801</c:v>
                </c:pt>
                <c:pt idx="1351">
                  <c:v>67.649999999998798</c:v>
                </c:pt>
                <c:pt idx="1352">
                  <c:v>67.699999999998795</c:v>
                </c:pt>
                <c:pt idx="1353">
                  <c:v>67.749999999998806</c:v>
                </c:pt>
                <c:pt idx="1354">
                  <c:v>67.799999999998803</c:v>
                </c:pt>
                <c:pt idx="1355">
                  <c:v>67.849999999998801</c:v>
                </c:pt>
                <c:pt idx="1356">
                  <c:v>67.899999999998798</c:v>
                </c:pt>
                <c:pt idx="1357">
                  <c:v>67.949999999998795</c:v>
                </c:pt>
                <c:pt idx="1358">
                  <c:v>67.999999999998806</c:v>
                </c:pt>
                <c:pt idx="1359">
                  <c:v>68.049999999998803</c:v>
                </c:pt>
                <c:pt idx="1360">
                  <c:v>68.099999999998801</c:v>
                </c:pt>
                <c:pt idx="1361">
                  <c:v>68.149999999998798</c:v>
                </c:pt>
                <c:pt idx="1362">
                  <c:v>68.199999999998795</c:v>
                </c:pt>
                <c:pt idx="1363">
                  <c:v>68.249999999998806</c:v>
                </c:pt>
                <c:pt idx="1364">
                  <c:v>68.299999999998803</c:v>
                </c:pt>
                <c:pt idx="1365">
                  <c:v>68.349999999998801</c:v>
                </c:pt>
                <c:pt idx="1366">
                  <c:v>68.399999999998798</c:v>
                </c:pt>
                <c:pt idx="1367">
                  <c:v>68.449999999998795</c:v>
                </c:pt>
                <c:pt idx="1368">
                  <c:v>68.499999999998806</c:v>
                </c:pt>
                <c:pt idx="1369">
                  <c:v>68.549999999998704</c:v>
                </c:pt>
                <c:pt idx="1370">
                  <c:v>68.599999999998801</c:v>
                </c:pt>
                <c:pt idx="1371">
                  <c:v>68.649999999998798</c:v>
                </c:pt>
                <c:pt idx="1372">
                  <c:v>68.699999999998695</c:v>
                </c:pt>
                <c:pt idx="1373">
                  <c:v>68.749999999998806</c:v>
                </c:pt>
                <c:pt idx="1374">
                  <c:v>68.799999999998704</c:v>
                </c:pt>
                <c:pt idx="1375">
                  <c:v>68.849999999998701</c:v>
                </c:pt>
                <c:pt idx="1376">
                  <c:v>68.899999999998698</c:v>
                </c:pt>
                <c:pt idx="1377">
                  <c:v>68.949999999998695</c:v>
                </c:pt>
                <c:pt idx="1378">
                  <c:v>68.999999999998707</c:v>
                </c:pt>
                <c:pt idx="1379">
                  <c:v>69.049999999998704</c:v>
                </c:pt>
                <c:pt idx="1380">
                  <c:v>69.099999999998701</c:v>
                </c:pt>
                <c:pt idx="1381">
                  <c:v>69.149999999998698</c:v>
                </c:pt>
                <c:pt idx="1382">
                  <c:v>69.199999999998695</c:v>
                </c:pt>
                <c:pt idx="1383">
                  <c:v>69.249999999998707</c:v>
                </c:pt>
                <c:pt idx="1384">
                  <c:v>69.299999999998704</c:v>
                </c:pt>
                <c:pt idx="1385">
                  <c:v>69.349999999998701</c:v>
                </c:pt>
                <c:pt idx="1386">
                  <c:v>69.399999999998698</c:v>
                </c:pt>
                <c:pt idx="1387">
                  <c:v>69.449999999998695</c:v>
                </c:pt>
                <c:pt idx="1388">
                  <c:v>69.499999999998707</c:v>
                </c:pt>
                <c:pt idx="1389">
                  <c:v>69.549999999998704</c:v>
                </c:pt>
                <c:pt idx="1390">
                  <c:v>69.599999999998701</c:v>
                </c:pt>
                <c:pt idx="1391">
                  <c:v>69.649999999998698</c:v>
                </c:pt>
                <c:pt idx="1392">
                  <c:v>69.699999999998695</c:v>
                </c:pt>
                <c:pt idx="1393">
                  <c:v>69.749999999998707</c:v>
                </c:pt>
                <c:pt idx="1394">
                  <c:v>69.799999999998704</c:v>
                </c:pt>
                <c:pt idx="1395">
                  <c:v>69.849999999998701</c:v>
                </c:pt>
                <c:pt idx="1396">
                  <c:v>69.899999999998698</c:v>
                </c:pt>
                <c:pt idx="1397">
                  <c:v>69.949999999998695</c:v>
                </c:pt>
                <c:pt idx="1398">
                  <c:v>69.999999999998707</c:v>
                </c:pt>
                <c:pt idx="1399">
                  <c:v>70.049999999998704</c:v>
                </c:pt>
                <c:pt idx="1400">
                  <c:v>70.099999999998701</c:v>
                </c:pt>
                <c:pt idx="1401">
                  <c:v>70.149999999998698</c:v>
                </c:pt>
                <c:pt idx="1402">
                  <c:v>70.199999999998695</c:v>
                </c:pt>
                <c:pt idx="1403">
                  <c:v>70.249999999998707</c:v>
                </c:pt>
                <c:pt idx="1404">
                  <c:v>70.299999999998704</c:v>
                </c:pt>
                <c:pt idx="1405">
                  <c:v>70.349999999998701</c:v>
                </c:pt>
                <c:pt idx="1406">
                  <c:v>70.399999999998698</c:v>
                </c:pt>
                <c:pt idx="1407">
                  <c:v>70.449999999998695</c:v>
                </c:pt>
                <c:pt idx="1408">
                  <c:v>70.499999999998707</c:v>
                </c:pt>
                <c:pt idx="1409">
                  <c:v>70.549999999998704</c:v>
                </c:pt>
                <c:pt idx="1410">
                  <c:v>70.599999999998701</c:v>
                </c:pt>
                <c:pt idx="1411">
                  <c:v>70.649999999998698</c:v>
                </c:pt>
                <c:pt idx="1412">
                  <c:v>70.699999999998695</c:v>
                </c:pt>
                <c:pt idx="1413">
                  <c:v>70.749999999998707</c:v>
                </c:pt>
                <c:pt idx="1414">
                  <c:v>70.799999999998704</c:v>
                </c:pt>
                <c:pt idx="1415">
                  <c:v>70.849999999998701</c:v>
                </c:pt>
                <c:pt idx="1416">
                  <c:v>70.899999999998698</c:v>
                </c:pt>
                <c:pt idx="1417">
                  <c:v>70.949999999998695</c:v>
                </c:pt>
                <c:pt idx="1418">
                  <c:v>70.999999999998707</c:v>
                </c:pt>
                <c:pt idx="1419">
                  <c:v>71.049999999998704</c:v>
                </c:pt>
                <c:pt idx="1420">
                  <c:v>71.099999999998701</c:v>
                </c:pt>
                <c:pt idx="1421">
                  <c:v>71.149999999998698</c:v>
                </c:pt>
                <c:pt idx="1422">
                  <c:v>71.199999999998695</c:v>
                </c:pt>
                <c:pt idx="1423">
                  <c:v>71.249999999998707</c:v>
                </c:pt>
                <c:pt idx="1424">
                  <c:v>71.299999999998704</c:v>
                </c:pt>
                <c:pt idx="1425">
                  <c:v>71.349999999998701</c:v>
                </c:pt>
                <c:pt idx="1426">
                  <c:v>71.399999999998698</c:v>
                </c:pt>
                <c:pt idx="1427">
                  <c:v>71.449999999998695</c:v>
                </c:pt>
                <c:pt idx="1428">
                  <c:v>71.499999999998707</c:v>
                </c:pt>
                <c:pt idx="1429">
                  <c:v>71.549999999998704</c:v>
                </c:pt>
                <c:pt idx="1430">
                  <c:v>71.599999999998701</c:v>
                </c:pt>
                <c:pt idx="1431">
                  <c:v>71.649999999998698</c:v>
                </c:pt>
                <c:pt idx="1432">
                  <c:v>71.699999999998695</c:v>
                </c:pt>
                <c:pt idx="1433">
                  <c:v>71.749999999998707</c:v>
                </c:pt>
                <c:pt idx="1434">
                  <c:v>71.799999999998704</c:v>
                </c:pt>
                <c:pt idx="1435">
                  <c:v>71.849999999998701</c:v>
                </c:pt>
                <c:pt idx="1436">
                  <c:v>71.899999999998698</c:v>
                </c:pt>
                <c:pt idx="1437">
                  <c:v>71.949999999998695</c:v>
                </c:pt>
                <c:pt idx="1438">
                  <c:v>71.999999999998707</c:v>
                </c:pt>
                <c:pt idx="1439">
                  <c:v>72.049999999998704</c:v>
                </c:pt>
                <c:pt idx="1440">
                  <c:v>72.099999999998701</c:v>
                </c:pt>
                <c:pt idx="1441">
                  <c:v>72.149999999998698</c:v>
                </c:pt>
                <c:pt idx="1442">
                  <c:v>72.199999999998695</c:v>
                </c:pt>
                <c:pt idx="1443">
                  <c:v>72.249999999998707</c:v>
                </c:pt>
                <c:pt idx="1444">
                  <c:v>72.299999999998704</c:v>
                </c:pt>
                <c:pt idx="1445">
                  <c:v>72.349999999998701</c:v>
                </c:pt>
                <c:pt idx="1446">
                  <c:v>72.399999999998698</c:v>
                </c:pt>
                <c:pt idx="1447">
                  <c:v>72.449999999998695</c:v>
                </c:pt>
                <c:pt idx="1448">
                  <c:v>72.499999999998707</c:v>
                </c:pt>
                <c:pt idx="1449">
                  <c:v>72.549999999998704</c:v>
                </c:pt>
                <c:pt idx="1450">
                  <c:v>72.599999999998701</c:v>
                </c:pt>
                <c:pt idx="1451">
                  <c:v>72.649999999998698</c:v>
                </c:pt>
                <c:pt idx="1452">
                  <c:v>72.699999999998695</c:v>
                </c:pt>
                <c:pt idx="1453">
                  <c:v>72.749999999998707</c:v>
                </c:pt>
                <c:pt idx="1454">
                  <c:v>72.799999999998704</c:v>
                </c:pt>
                <c:pt idx="1455">
                  <c:v>72.849999999998701</c:v>
                </c:pt>
                <c:pt idx="1456">
                  <c:v>72.899999999998698</c:v>
                </c:pt>
                <c:pt idx="1457">
                  <c:v>72.949999999998695</c:v>
                </c:pt>
                <c:pt idx="1458">
                  <c:v>72.999999999998707</c:v>
                </c:pt>
                <c:pt idx="1459">
                  <c:v>73.049999999998704</c:v>
                </c:pt>
                <c:pt idx="1460">
                  <c:v>73.099999999998701</c:v>
                </c:pt>
                <c:pt idx="1461">
                  <c:v>73.149999999998698</c:v>
                </c:pt>
                <c:pt idx="1462">
                  <c:v>73.199999999998695</c:v>
                </c:pt>
                <c:pt idx="1463">
                  <c:v>73.249999999998707</c:v>
                </c:pt>
                <c:pt idx="1464">
                  <c:v>73.299999999998604</c:v>
                </c:pt>
                <c:pt idx="1465">
                  <c:v>73.349999999998602</c:v>
                </c:pt>
                <c:pt idx="1466">
                  <c:v>73.399999999998698</c:v>
                </c:pt>
                <c:pt idx="1467">
                  <c:v>73.449999999998596</c:v>
                </c:pt>
                <c:pt idx="1468">
                  <c:v>73.499999999998593</c:v>
                </c:pt>
                <c:pt idx="1469">
                  <c:v>73.549999999998604</c:v>
                </c:pt>
                <c:pt idx="1470">
                  <c:v>73.599999999998602</c:v>
                </c:pt>
                <c:pt idx="1471">
                  <c:v>73.649999999998599</c:v>
                </c:pt>
                <c:pt idx="1472">
                  <c:v>73.699999999998596</c:v>
                </c:pt>
                <c:pt idx="1473">
                  <c:v>73.749999999998593</c:v>
                </c:pt>
                <c:pt idx="1474">
                  <c:v>73.799999999998604</c:v>
                </c:pt>
                <c:pt idx="1475">
                  <c:v>73.849999999998602</c:v>
                </c:pt>
                <c:pt idx="1476">
                  <c:v>73.899999999998599</c:v>
                </c:pt>
                <c:pt idx="1477">
                  <c:v>73.949999999998596</c:v>
                </c:pt>
                <c:pt idx="1478">
                  <c:v>73.999999999998593</c:v>
                </c:pt>
                <c:pt idx="1479">
                  <c:v>74.049999999998604</c:v>
                </c:pt>
                <c:pt idx="1480">
                  <c:v>74.099999999998602</c:v>
                </c:pt>
                <c:pt idx="1481">
                  <c:v>74.149999999998599</c:v>
                </c:pt>
                <c:pt idx="1482">
                  <c:v>74.199999999998596</c:v>
                </c:pt>
                <c:pt idx="1483">
                  <c:v>74.249999999998593</c:v>
                </c:pt>
                <c:pt idx="1484">
                  <c:v>74.299999999998604</c:v>
                </c:pt>
                <c:pt idx="1485">
                  <c:v>74.349999999998602</c:v>
                </c:pt>
                <c:pt idx="1486">
                  <c:v>74.399999999998599</c:v>
                </c:pt>
                <c:pt idx="1487">
                  <c:v>74.449999999998596</c:v>
                </c:pt>
                <c:pt idx="1488">
                  <c:v>74.499999999998593</c:v>
                </c:pt>
                <c:pt idx="1489">
                  <c:v>74.549999999998604</c:v>
                </c:pt>
                <c:pt idx="1490">
                  <c:v>74.599999999998602</c:v>
                </c:pt>
                <c:pt idx="1491">
                  <c:v>74.649999999998599</c:v>
                </c:pt>
                <c:pt idx="1492">
                  <c:v>74.699999999998596</c:v>
                </c:pt>
                <c:pt idx="1493">
                  <c:v>74.749999999998593</c:v>
                </c:pt>
                <c:pt idx="1494">
                  <c:v>74.799999999998604</c:v>
                </c:pt>
                <c:pt idx="1495">
                  <c:v>74.849999999998602</c:v>
                </c:pt>
                <c:pt idx="1496">
                  <c:v>74.899999999998599</c:v>
                </c:pt>
                <c:pt idx="1497">
                  <c:v>74.949999999998596</c:v>
                </c:pt>
                <c:pt idx="1498">
                  <c:v>74.999999999998593</c:v>
                </c:pt>
                <c:pt idx="1499">
                  <c:v>75.049999999998604</c:v>
                </c:pt>
                <c:pt idx="1500">
                  <c:v>75.099999999998602</c:v>
                </c:pt>
                <c:pt idx="1501">
                  <c:v>75.149999999998599</c:v>
                </c:pt>
                <c:pt idx="1502">
                  <c:v>75.199999999998596</c:v>
                </c:pt>
                <c:pt idx="1503">
                  <c:v>75.249999999998593</c:v>
                </c:pt>
                <c:pt idx="1504">
                  <c:v>75.299999999998604</c:v>
                </c:pt>
                <c:pt idx="1505">
                  <c:v>75.349999999998602</c:v>
                </c:pt>
                <c:pt idx="1506">
                  <c:v>75.399999999998599</c:v>
                </c:pt>
                <c:pt idx="1507">
                  <c:v>75.449999999998596</c:v>
                </c:pt>
                <c:pt idx="1508">
                  <c:v>75.499999999998593</c:v>
                </c:pt>
                <c:pt idx="1509">
                  <c:v>75.549999999998604</c:v>
                </c:pt>
                <c:pt idx="1510">
                  <c:v>75.599999999998602</c:v>
                </c:pt>
                <c:pt idx="1511">
                  <c:v>75.649999999998599</c:v>
                </c:pt>
                <c:pt idx="1512">
                  <c:v>75.699999999998596</c:v>
                </c:pt>
                <c:pt idx="1513">
                  <c:v>75.749999999998593</c:v>
                </c:pt>
                <c:pt idx="1514">
                  <c:v>75.799999999998604</c:v>
                </c:pt>
                <c:pt idx="1515">
                  <c:v>75.849999999998602</c:v>
                </c:pt>
                <c:pt idx="1516">
                  <c:v>75.899999999998599</c:v>
                </c:pt>
                <c:pt idx="1517">
                  <c:v>75.949999999998596</c:v>
                </c:pt>
                <c:pt idx="1518">
                  <c:v>75.999999999998593</c:v>
                </c:pt>
                <c:pt idx="1519">
                  <c:v>76.049999999998604</c:v>
                </c:pt>
                <c:pt idx="1520">
                  <c:v>76.099999999998602</c:v>
                </c:pt>
                <c:pt idx="1521">
                  <c:v>76.149999999998599</c:v>
                </c:pt>
                <c:pt idx="1522">
                  <c:v>76.199999999998596</c:v>
                </c:pt>
                <c:pt idx="1523">
                  <c:v>76.249999999998593</c:v>
                </c:pt>
                <c:pt idx="1524">
                  <c:v>76.299999999998604</c:v>
                </c:pt>
                <c:pt idx="1525">
                  <c:v>76.349999999998602</c:v>
                </c:pt>
                <c:pt idx="1526">
                  <c:v>76.399999999998599</c:v>
                </c:pt>
                <c:pt idx="1527">
                  <c:v>76.449999999998596</c:v>
                </c:pt>
                <c:pt idx="1528">
                  <c:v>76.499999999998593</c:v>
                </c:pt>
                <c:pt idx="1529">
                  <c:v>76.549999999998604</c:v>
                </c:pt>
                <c:pt idx="1530">
                  <c:v>76.599999999998602</c:v>
                </c:pt>
                <c:pt idx="1531">
                  <c:v>76.649999999998599</c:v>
                </c:pt>
                <c:pt idx="1532">
                  <c:v>76.699999999998596</c:v>
                </c:pt>
                <c:pt idx="1533">
                  <c:v>76.749999999998593</c:v>
                </c:pt>
                <c:pt idx="1534">
                  <c:v>76.799999999998604</c:v>
                </c:pt>
                <c:pt idx="1535">
                  <c:v>76.849999999998602</c:v>
                </c:pt>
                <c:pt idx="1536">
                  <c:v>76.899999999998599</c:v>
                </c:pt>
                <c:pt idx="1537">
                  <c:v>76.949999999998596</c:v>
                </c:pt>
                <c:pt idx="1538">
                  <c:v>76.999999999998593</c:v>
                </c:pt>
                <c:pt idx="1539">
                  <c:v>77.049999999998604</c:v>
                </c:pt>
                <c:pt idx="1540">
                  <c:v>77.099999999998602</c:v>
                </c:pt>
                <c:pt idx="1541">
                  <c:v>77.149999999998599</c:v>
                </c:pt>
                <c:pt idx="1542">
                  <c:v>77.199999999998596</c:v>
                </c:pt>
                <c:pt idx="1543">
                  <c:v>77.249999999998593</c:v>
                </c:pt>
                <c:pt idx="1544">
                  <c:v>77.299999999998604</c:v>
                </c:pt>
                <c:pt idx="1545">
                  <c:v>77.349999999998602</c:v>
                </c:pt>
                <c:pt idx="1546">
                  <c:v>77.399999999998599</c:v>
                </c:pt>
                <c:pt idx="1547">
                  <c:v>77.449999999998596</c:v>
                </c:pt>
                <c:pt idx="1548">
                  <c:v>77.499999999998593</c:v>
                </c:pt>
                <c:pt idx="1549">
                  <c:v>77.549999999998604</c:v>
                </c:pt>
                <c:pt idx="1550">
                  <c:v>77.599999999998602</c:v>
                </c:pt>
                <c:pt idx="1551">
                  <c:v>77.649999999998599</c:v>
                </c:pt>
                <c:pt idx="1552">
                  <c:v>77.699999999998596</c:v>
                </c:pt>
                <c:pt idx="1553">
                  <c:v>77.749999999998593</c:v>
                </c:pt>
                <c:pt idx="1554">
                  <c:v>77.799999999998604</c:v>
                </c:pt>
                <c:pt idx="1555">
                  <c:v>77.849999999998602</c:v>
                </c:pt>
                <c:pt idx="1556">
                  <c:v>77.899999999998599</c:v>
                </c:pt>
                <c:pt idx="1557">
                  <c:v>77.949999999998596</c:v>
                </c:pt>
                <c:pt idx="1558">
                  <c:v>77.999999999998593</c:v>
                </c:pt>
                <c:pt idx="1559">
                  <c:v>78.049999999998604</c:v>
                </c:pt>
                <c:pt idx="1560">
                  <c:v>78.099999999998502</c:v>
                </c:pt>
                <c:pt idx="1561">
                  <c:v>78.149999999998499</c:v>
                </c:pt>
                <c:pt idx="1562">
                  <c:v>78.199999999998496</c:v>
                </c:pt>
                <c:pt idx="1563">
                  <c:v>78.249999999998494</c:v>
                </c:pt>
                <c:pt idx="1564">
                  <c:v>78.299999999998604</c:v>
                </c:pt>
                <c:pt idx="1565">
                  <c:v>78.349999999998502</c:v>
                </c:pt>
                <c:pt idx="1566">
                  <c:v>78.399999999998499</c:v>
                </c:pt>
                <c:pt idx="1567">
                  <c:v>78.449999999998496</c:v>
                </c:pt>
                <c:pt idx="1568">
                  <c:v>78.499999999998494</c:v>
                </c:pt>
                <c:pt idx="1569">
                  <c:v>78.549999999998505</c:v>
                </c:pt>
                <c:pt idx="1570">
                  <c:v>78.599999999998502</c:v>
                </c:pt>
                <c:pt idx="1571">
                  <c:v>78.649999999998499</c:v>
                </c:pt>
                <c:pt idx="1572">
                  <c:v>78.699999999998496</c:v>
                </c:pt>
                <c:pt idx="1573">
                  <c:v>78.749999999998494</c:v>
                </c:pt>
                <c:pt idx="1574">
                  <c:v>78.799999999998505</c:v>
                </c:pt>
                <c:pt idx="1575">
                  <c:v>78.849999999998502</c:v>
                </c:pt>
                <c:pt idx="1576">
                  <c:v>78.899999999998499</c:v>
                </c:pt>
                <c:pt idx="1577">
                  <c:v>78.949999999998496</c:v>
                </c:pt>
                <c:pt idx="1578">
                  <c:v>78.999999999998494</c:v>
                </c:pt>
                <c:pt idx="1579">
                  <c:v>79.049999999998505</c:v>
                </c:pt>
                <c:pt idx="1580">
                  <c:v>79.099999999998502</c:v>
                </c:pt>
                <c:pt idx="1581">
                  <c:v>79.149999999998499</c:v>
                </c:pt>
                <c:pt idx="1582">
                  <c:v>79.199999999998496</c:v>
                </c:pt>
                <c:pt idx="1583">
                  <c:v>79.249999999998494</c:v>
                </c:pt>
                <c:pt idx="1584">
                  <c:v>79.299999999998505</c:v>
                </c:pt>
                <c:pt idx="1585">
                  <c:v>79.349999999998502</c:v>
                </c:pt>
                <c:pt idx="1586">
                  <c:v>79.399999999998499</c:v>
                </c:pt>
                <c:pt idx="1587">
                  <c:v>79.449999999998496</c:v>
                </c:pt>
                <c:pt idx="1588">
                  <c:v>79.499999999998494</c:v>
                </c:pt>
                <c:pt idx="1589">
                  <c:v>79.549999999998505</c:v>
                </c:pt>
                <c:pt idx="1590">
                  <c:v>79.599999999998502</c:v>
                </c:pt>
                <c:pt idx="1591">
                  <c:v>79.649999999998499</c:v>
                </c:pt>
                <c:pt idx="1592">
                  <c:v>79.699999999998496</c:v>
                </c:pt>
                <c:pt idx="1593">
                  <c:v>79.749999999998494</c:v>
                </c:pt>
                <c:pt idx="1594">
                  <c:v>79.799999999998505</c:v>
                </c:pt>
                <c:pt idx="1595">
                  <c:v>79.849999999998502</c:v>
                </c:pt>
                <c:pt idx="1596">
                  <c:v>79.899999999998499</c:v>
                </c:pt>
                <c:pt idx="1597">
                  <c:v>79.949999999998496</c:v>
                </c:pt>
                <c:pt idx="1598">
                  <c:v>79.999999999998494</c:v>
                </c:pt>
                <c:pt idx="1599">
                  <c:v>80.049999999998505</c:v>
                </c:pt>
                <c:pt idx="1600">
                  <c:v>80.099999999998502</c:v>
                </c:pt>
                <c:pt idx="1601">
                  <c:v>80.149999999998499</c:v>
                </c:pt>
                <c:pt idx="1602">
                  <c:v>80.199999999998496</c:v>
                </c:pt>
                <c:pt idx="1603">
                  <c:v>80.249999999998494</c:v>
                </c:pt>
                <c:pt idx="1604">
                  <c:v>80.299999999998505</c:v>
                </c:pt>
                <c:pt idx="1605">
                  <c:v>80.349999999998502</c:v>
                </c:pt>
                <c:pt idx="1606">
                  <c:v>80.399999999998499</c:v>
                </c:pt>
                <c:pt idx="1607">
                  <c:v>80.449999999998496</c:v>
                </c:pt>
                <c:pt idx="1608">
                  <c:v>80.499999999998494</c:v>
                </c:pt>
                <c:pt idx="1609">
                  <c:v>80.549999999998505</c:v>
                </c:pt>
                <c:pt idx="1610">
                  <c:v>80.599999999998502</c:v>
                </c:pt>
                <c:pt idx="1611">
                  <c:v>80.649999999998499</c:v>
                </c:pt>
                <c:pt idx="1612">
                  <c:v>80.699999999998496</c:v>
                </c:pt>
                <c:pt idx="1613">
                  <c:v>80.749999999998494</c:v>
                </c:pt>
                <c:pt idx="1614">
                  <c:v>80.799999999998505</c:v>
                </c:pt>
                <c:pt idx="1615">
                  <c:v>80.849999999998502</c:v>
                </c:pt>
                <c:pt idx="1616">
                  <c:v>80.899999999998499</c:v>
                </c:pt>
                <c:pt idx="1617">
                  <c:v>80.949999999998496</c:v>
                </c:pt>
                <c:pt idx="1618">
                  <c:v>80.999999999998494</c:v>
                </c:pt>
                <c:pt idx="1619">
                  <c:v>81.049999999998505</c:v>
                </c:pt>
                <c:pt idx="1620">
                  <c:v>81.099999999998502</c:v>
                </c:pt>
                <c:pt idx="1621">
                  <c:v>81.149999999998499</c:v>
                </c:pt>
                <c:pt idx="1622">
                  <c:v>81.199999999998496</c:v>
                </c:pt>
                <c:pt idx="1623">
                  <c:v>81.249999999998494</c:v>
                </c:pt>
                <c:pt idx="1624">
                  <c:v>81.299999999998505</c:v>
                </c:pt>
                <c:pt idx="1625">
                  <c:v>81.349999999998502</c:v>
                </c:pt>
                <c:pt idx="1626">
                  <c:v>81.399999999998499</c:v>
                </c:pt>
                <c:pt idx="1627">
                  <c:v>81.449999999998496</c:v>
                </c:pt>
                <c:pt idx="1628">
                  <c:v>81.499999999998494</c:v>
                </c:pt>
                <c:pt idx="1629">
                  <c:v>81.549999999998505</c:v>
                </c:pt>
                <c:pt idx="1630">
                  <c:v>81.599999999998502</c:v>
                </c:pt>
                <c:pt idx="1631">
                  <c:v>81.649999999998499</c:v>
                </c:pt>
                <c:pt idx="1632">
                  <c:v>81.699999999998496</c:v>
                </c:pt>
                <c:pt idx="1633">
                  <c:v>81.749999999998494</c:v>
                </c:pt>
                <c:pt idx="1634">
                  <c:v>81.799999999998505</c:v>
                </c:pt>
                <c:pt idx="1635">
                  <c:v>81.849999999998502</c:v>
                </c:pt>
                <c:pt idx="1636">
                  <c:v>81.899999999998499</c:v>
                </c:pt>
                <c:pt idx="1637">
                  <c:v>81.949999999998496</c:v>
                </c:pt>
                <c:pt idx="1638">
                  <c:v>81.999999999998494</c:v>
                </c:pt>
                <c:pt idx="1639">
                  <c:v>82.049999999998505</c:v>
                </c:pt>
                <c:pt idx="1640">
                  <c:v>82.099999999998502</c:v>
                </c:pt>
                <c:pt idx="1641">
                  <c:v>82.149999999998499</c:v>
                </c:pt>
                <c:pt idx="1642">
                  <c:v>82.199999999998496</c:v>
                </c:pt>
                <c:pt idx="1643">
                  <c:v>82.249999999998494</c:v>
                </c:pt>
                <c:pt idx="1644">
                  <c:v>82.299999999998505</c:v>
                </c:pt>
                <c:pt idx="1645">
                  <c:v>82.349999999998502</c:v>
                </c:pt>
                <c:pt idx="1646">
                  <c:v>82.399999999998499</c:v>
                </c:pt>
                <c:pt idx="1647">
                  <c:v>82.449999999998496</c:v>
                </c:pt>
                <c:pt idx="1648">
                  <c:v>82.499999999998494</c:v>
                </c:pt>
                <c:pt idx="1649">
                  <c:v>82.549999999998505</c:v>
                </c:pt>
                <c:pt idx="1650">
                  <c:v>82.599999999998403</c:v>
                </c:pt>
                <c:pt idx="1651">
                  <c:v>82.649999999998499</c:v>
                </c:pt>
                <c:pt idx="1652">
                  <c:v>82.699999999998496</c:v>
                </c:pt>
                <c:pt idx="1653">
                  <c:v>82.749999999998494</c:v>
                </c:pt>
                <c:pt idx="1654">
                  <c:v>82.799999999998505</c:v>
                </c:pt>
                <c:pt idx="1655">
                  <c:v>82.849999999998403</c:v>
                </c:pt>
                <c:pt idx="1656">
                  <c:v>82.8999999999984</c:v>
                </c:pt>
                <c:pt idx="1657">
                  <c:v>82.949999999998397</c:v>
                </c:pt>
                <c:pt idx="1658">
                  <c:v>82.999999999998394</c:v>
                </c:pt>
                <c:pt idx="1659">
                  <c:v>83.049999999998406</c:v>
                </c:pt>
                <c:pt idx="1660">
                  <c:v>83.099999999998403</c:v>
                </c:pt>
                <c:pt idx="1661">
                  <c:v>83.1499999999984</c:v>
                </c:pt>
                <c:pt idx="1662">
                  <c:v>83.199999999998397</c:v>
                </c:pt>
                <c:pt idx="1663">
                  <c:v>83.249999999998394</c:v>
                </c:pt>
                <c:pt idx="1664">
                  <c:v>83.299999999998406</c:v>
                </c:pt>
                <c:pt idx="1665">
                  <c:v>83.349999999998403</c:v>
                </c:pt>
                <c:pt idx="1666">
                  <c:v>83.3999999999984</c:v>
                </c:pt>
                <c:pt idx="1667">
                  <c:v>83.449999999998397</c:v>
                </c:pt>
                <c:pt idx="1668">
                  <c:v>83.499999999998394</c:v>
                </c:pt>
                <c:pt idx="1669">
                  <c:v>83.549999999998406</c:v>
                </c:pt>
                <c:pt idx="1670">
                  <c:v>83.599999999998403</c:v>
                </c:pt>
                <c:pt idx="1671">
                  <c:v>83.6499999999984</c:v>
                </c:pt>
                <c:pt idx="1672">
                  <c:v>83.699999999998397</c:v>
                </c:pt>
                <c:pt idx="1673">
                  <c:v>83.749999999998394</c:v>
                </c:pt>
                <c:pt idx="1674">
                  <c:v>83.799999999998406</c:v>
                </c:pt>
                <c:pt idx="1675">
                  <c:v>83.849999999998403</c:v>
                </c:pt>
                <c:pt idx="1676">
                  <c:v>83.8999999999984</c:v>
                </c:pt>
                <c:pt idx="1677">
                  <c:v>83.949999999998397</c:v>
                </c:pt>
                <c:pt idx="1678">
                  <c:v>83.999999999998394</c:v>
                </c:pt>
                <c:pt idx="1679">
                  <c:v>84.049999999998406</c:v>
                </c:pt>
                <c:pt idx="1680">
                  <c:v>84.099999999998403</c:v>
                </c:pt>
                <c:pt idx="1681">
                  <c:v>84.1499999999984</c:v>
                </c:pt>
                <c:pt idx="1682">
                  <c:v>84.199999999998397</c:v>
                </c:pt>
                <c:pt idx="1683">
                  <c:v>84.249999999998394</c:v>
                </c:pt>
                <c:pt idx="1684">
                  <c:v>84.299999999998406</c:v>
                </c:pt>
                <c:pt idx="1685">
                  <c:v>84.349999999998403</c:v>
                </c:pt>
                <c:pt idx="1686">
                  <c:v>84.3999999999984</c:v>
                </c:pt>
                <c:pt idx="1687">
                  <c:v>84.449999999998397</c:v>
                </c:pt>
                <c:pt idx="1688">
                  <c:v>84.499999999998394</c:v>
                </c:pt>
                <c:pt idx="1689">
                  <c:v>84.549999999998406</c:v>
                </c:pt>
                <c:pt idx="1690">
                  <c:v>84.599999999998403</c:v>
                </c:pt>
                <c:pt idx="1691">
                  <c:v>84.6499999999984</c:v>
                </c:pt>
                <c:pt idx="1692">
                  <c:v>84.699999999998397</c:v>
                </c:pt>
                <c:pt idx="1693">
                  <c:v>84.749999999998394</c:v>
                </c:pt>
                <c:pt idx="1694">
                  <c:v>84.799999999998406</c:v>
                </c:pt>
                <c:pt idx="1695">
                  <c:v>84.849999999998403</c:v>
                </c:pt>
                <c:pt idx="1696">
                  <c:v>84.8999999999984</c:v>
                </c:pt>
                <c:pt idx="1697">
                  <c:v>84.949999999998397</c:v>
                </c:pt>
                <c:pt idx="1698">
                  <c:v>84.999999999998394</c:v>
                </c:pt>
                <c:pt idx="1699">
                  <c:v>85.049999999998406</c:v>
                </c:pt>
                <c:pt idx="1700">
                  <c:v>85.099999999998403</c:v>
                </c:pt>
                <c:pt idx="1701">
                  <c:v>85.1499999999984</c:v>
                </c:pt>
                <c:pt idx="1702">
                  <c:v>85.199999999998397</c:v>
                </c:pt>
                <c:pt idx="1703">
                  <c:v>85.249999999998394</c:v>
                </c:pt>
                <c:pt idx="1704">
                  <c:v>85.299999999998406</c:v>
                </c:pt>
                <c:pt idx="1705">
                  <c:v>85.349999999998403</c:v>
                </c:pt>
                <c:pt idx="1706">
                  <c:v>85.3999999999984</c:v>
                </c:pt>
                <c:pt idx="1707">
                  <c:v>85.449999999998397</c:v>
                </c:pt>
                <c:pt idx="1708">
                  <c:v>85.499999999998394</c:v>
                </c:pt>
                <c:pt idx="1709">
                  <c:v>85.549999999998406</c:v>
                </c:pt>
                <c:pt idx="1710">
                  <c:v>85.599999999998403</c:v>
                </c:pt>
                <c:pt idx="1711">
                  <c:v>85.6499999999984</c:v>
                </c:pt>
                <c:pt idx="1712">
                  <c:v>85.699999999998397</c:v>
                </c:pt>
                <c:pt idx="1713">
                  <c:v>85.749999999998394</c:v>
                </c:pt>
                <c:pt idx="1714">
                  <c:v>85.799999999998406</c:v>
                </c:pt>
                <c:pt idx="1715">
                  <c:v>85.849999999998403</c:v>
                </c:pt>
                <c:pt idx="1716">
                  <c:v>85.8999999999984</c:v>
                </c:pt>
                <c:pt idx="1717">
                  <c:v>85.949999999998397</c:v>
                </c:pt>
                <c:pt idx="1718">
                  <c:v>85.999999999998394</c:v>
                </c:pt>
                <c:pt idx="1719">
                  <c:v>86.049999999998406</c:v>
                </c:pt>
                <c:pt idx="1720">
                  <c:v>86.099999999998403</c:v>
                </c:pt>
                <c:pt idx="1721">
                  <c:v>86.1499999999984</c:v>
                </c:pt>
                <c:pt idx="1722">
                  <c:v>86.199999999998397</c:v>
                </c:pt>
                <c:pt idx="1723">
                  <c:v>86.249999999998394</c:v>
                </c:pt>
                <c:pt idx="1724">
                  <c:v>86.299999999998406</c:v>
                </c:pt>
                <c:pt idx="1725">
                  <c:v>86.349999999998403</c:v>
                </c:pt>
                <c:pt idx="1726">
                  <c:v>86.3999999999984</c:v>
                </c:pt>
                <c:pt idx="1727">
                  <c:v>86.449999999998397</c:v>
                </c:pt>
                <c:pt idx="1728">
                  <c:v>86.499999999998394</c:v>
                </c:pt>
                <c:pt idx="1729">
                  <c:v>86.549999999998406</c:v>
                </c:pt>
                <c:pt idx="1730">
                  <c:v>86.599999999998403</c:v>
                </c:pt>
                <c:pt idx="1731">
                  <c:v>86.6499999999984</c:v>
                </c:pt>
                <c:pt idx="1732">
                  <c:v>86.699999999998397</c:v>
                </c:pt>
                <c:pt idx="1733">
                  <c:v>86.749999999998394</c:v>
                </c:pt>
                <c:pt idx="1734">
                  <c:v>86.799999999998406</c:v>
                </c:pt>
                <c:pt idx="1735">
                  <c:v>86.849999999998403</c:v>
                </c:pt>
                <c:pt idx="1736">
                  <c:v>86.8999999999984</c:v>
                </c:pt>
                <c:pt idx="1737">
                  <c:v>86.949999999998397</c:v>
                </c:pt>
                <c:pt idx="1738">
                  <c:v>86.999999999998394</c:v>
                </c:pt>
                <c:pt idx="1739">
                  <c:v>87.049999999998406</c:v>
                </c:pt>
                <c:pt idx="1740">
                  <c:v>87.099999999998403</c:v>
                </c:pt>
                <c:pt idx="1741">
                  <c:v>87.1499999999984</c:v>
                </c:pt>
                <c:pt idx="1742">
                  <c:v>87.199999999998397</c:v>
                </c:pt>
                <c:pt idx="1743">
                  <c:v>87.249999999998394</c:v>
                </c:pt>
                <c:pt idx="1744">
                  <c:v>87.299999999998406</c:v>
                </c:pt>
                <c:pt idx="1745">
                  <c:v>87.349999999998303</c:v>
                </c:pt>
                <c:pt idx="1746">
                  <c:v>87.3999999999983</c:v>
                </c:pt>
                <c:pt idx="1747">
                  <c:v>87.449999999998397</c:v>
                </c:pt>
                <c:pt idx="1748">
                  <c:v>87.499999999998394</c:v>
                </c:pt>
                <c:pt idx="1749">
                  <c:v>87.549999999998406</c:v>
                </c:pt>
                <c:pt idx="1750">
                  <c:v>87.599999999998303</c:v>
                </c:pt>
                <c:pt idx="1751">
                  <c:v>87.6499999999983</c:v>
                </c:pt>
                <c:pt idx="1752">
                  <c:v>87.699999999998298</c:v>
                </c:pt>
                <c:pt idx="1753">
                  <c:v>87.749999999998295</c:v>
                </c:pt>
                <c:pt idx="1754">
                  <c:v>87.799999999998306</c:v>
                </c:pt>
                <c:pt idx="1755">
                  <c:v>87.849999999998303</c:v>
                </c:pt>
                <c:pt idx="1756">
                  <c:v>87.8999999999983</c:v>
                </c:pt>
                <c:pt idx="1757">
                  <c:v>87.949999999998298</c:v>
                </c:pt>
                <c:pt idx="1758">
                  <c:v>87.999999999998295</c:v>
                </c:pt>
                <c:pt idx="1759">
                  <c:v>88.049999999998306</c:v>
                </c:pt>
                <c:pt idx="1760">
                  <c:v>88.099999999998303</c:v>
                </c:pt>
                <c:pt idx="1761">
                  <c:v>88.1499999999983</c:v>
                </c:pt>
                <c:pt idx="1762">
                  <c:v>88.199999999998298</c:v>
                </c:pt>
                <c:pt idx="1763">
                  <c:v>88.249999999998295</c:v>
                </c:pt>
                <c:pt idx="1764">
                  <c:v>88.299999999998306</c:v>
                </c:pt>
                <c:pt idx="1765">
                  <c:v>88.349999999998303</c:v>
                </c:pt>
                <c:pt idx="1766">
                  <c:v>88.3999999999983</c:v>
                </c:pt>
                <c:pt idx="1767">
                  <c:v>88.449999999998298</c:v>
                </c:pt>
                <c:pt idx="1768">
                  <c:v>88.499999999998295</c:v>
                </c:pt>
                <c:pt idx="1769">
                  <c:v>88.549999999998306</c:v>
                </c:pt>
                <c:pt idx="1770">
                  <c:v>88.599999999998303</c:v>
                </c:pt>
                <c:pt idx="1771">
                  <c:v>88.6499999999983</c:v>
                </c:pt>
                <c:pt idx="1772">
                  <c:v>88.699999999998298</c:v>
                </c:pt>
                <c:pt idx="1773">
                  <c:v>88.749999999998295</c:v>
                </c:pt>
                <c:pt idx="1774">
                  <c:v>88.799999999998306</c:v>
                </c:pt>
                <c:pt idx="1775">
                  <c:v>88.849999999998303</c:v>
                </c:pt>
                <c:pt idx="1776">
                  <c:v>88.8999999999983</c:v>
                </c:pt>
                <c:pt idx="1777">
                  <c:v>88.949999999998298</c:v>
                </c:pt>
                <c:pt idx="1778">
                  <c:v>88.999999999998295</c:v>
                </c:pt>
                <c:pt idx="1779">
                  <c:v>89.049999999998306</c:v>
                </c:pt>
                <c:pt idx="1780">
                  <c:v>89.099999999998303</c:v>
                </c:pt>
                <c:pt idx="1781">
                  <c:v>89.1499999999983</c:v>
                </c:pt>
                <c:pt idx="1782">
                  <c:v>89.199999999998298</c:v>
                </c:pt>
                <c:pt idx="1783">
                  <c:v>89.249999999998295</c:v>
                </c:pt>
                <c:pt idx="1784">
                  <c:v>89.299999999998306</c:v>
                </c:pt>
                <c:pt idx="1785">
                  <c:v>89.349999999998303</c:v>
                </c:pt>
                <c:pt idx="1786">
                  <c:v>89.3999999999983</c:v>
                </c:pt>
                <c:pt idx="1787">
                  <c:v>89.449999999998298</c:v>
                </c:pt>
                <c:pt idx="1788">
                  <c:v>89.499999999998295</c:v>
                </c:pt>
                <c:pt idx="1789">
                  <c:v>89.549999999998306</c:v>
                </c:pt>
                <c:pt idx="1790">
                  <c:v>89.599999999998303</c:v>
                </c:pt>
                <c:pt idx="1791">
                  <c:v>89.6499999999983</c:v>
                </c:pt>
                <c:pt idx="1792">
                  <c:v>89.699999999998298</c:v>
                </c:pt>
                <c:pt idx="1793">
                  <c:v>89.749999999998295</c:v>
                </c:pt>
                <c:pt idx="1794">
                  <c:v>89.799999999998306</c:v>
                </c:pt>
                <c:pt idx="1795">
                  <c:v>89.849999999998303</c:v>
                </c:pt>
                <c:pt idx="1796">
                  <c:v>89.8999999999983</c:v>
                </c:pt>
                <c:pt idx="1797">
                  <c:v>89.949999999998298</c:v>
                </c:pt>
                <c:pt idx="1798">
                  <c:v>89.999999999998295</c:v>
                </c:pt>
                <c:pt idx="1799">
                  <c:v>90.049999999998306</c:v>
                </c:pt>
                <c:pt idx="1800">
                  <c:v>90.099999999998303</c:v>
                </c:pt>
                <c:pt idx="1801">
                  <c:v>90.1499999999983</c:v>
                </c:pt>
                <c:pt idx="1802">
                  <c:v>90.199999999998298</c:v>
                </c:pt>
                <c:pt idx="1803">
                  <c:v>90.249999999998295</c:v>
                </c:pt>
                <c:pt idx="1804">
                  <c:v>90.299999999998306</c:v>
                </c:pt>
                <c:pt idx="1805">
                  <c:v>90.349999999998303</c:v>
                </c:pt>
                <c:pt idx="1806">
                  <c:v>90.3999999999983</c:v>
                </c:pt>
                <c:pt idx="1807">
                  <c:v>90.449999999998298</c:v>
                </c:pt>
                <c:pt idx="1808">
                  <c:v>90.499999999998295</c:v>
                </c:pt>
                <c:pt idx="1809">
                  <c:v>90.549999999998306</c:v>
                </c:pt>
                <c:pt idx="1810">
                  <c:v>90.599999999998303</c:v>
                </c:pt>
                <c:pt idx="1811">
                  <c:v>90.6499999999983</c:v>
                </c:pt>
                <c:pt idx="1812">
                  <c:v>90.699999999998298</c:v>
                </c:pt>
                <c:pt idx="1813">
                  <c:v>90.749999999998295</c:v>
                </c:pt>
                <c:pt idx="1814">
                  <c:v>90.799999999998306</c:v>
                </c:pt>
                <c:pt idx="1815">
                  <c:v>90.849999999998303</c:v>
                </c:pt>
                <c:pt idx="1816">
                  <c:v>90.8999999999983</c:v>
                </c:pt>
                <c:pt idx="1817">
                  <c:v>90.949999999998298</c:v>
                </c:pt>
                <c:pt idx="1818">
                  <c:v>90.999999999998295</c:v>
                </c:pt>
                <c:pt idx="1819">
                  <c:v>91.049999999998306</c:v>
                </c:pt>
                <c:pt idx="1820">
                  <c:v>91.099999999998303</c:v>
                </c:pt>
                <c:pt idx="1821">
                  <c:v>91.1499999999983</c:v>
                </c:pt>
                <c:pt idx="1822">
                  <c:v>91.199999999998298</c:v>
                </c:pt>
                <c:pt idx="1823">
                  <c:v>91.249999999998295</c:v>
                </c:pt>
                <c:pt idx="1824">
                  <c:v>91.299999999998306</c:v>
                </c:pt>
                <c:pt idx="1825">
                  <c:v>91.349999999998303</c:v>
                </c:pt>
                <c:pt idx="1826">
                  <c:v>91.3999999999983</c:v>
                </c:pt>
                <c:pt idx="1827">
                  <c:v>91.449999999998298</c:v>
                </c:pt>
                <c:pt idx="1828">
                  <c:v>91.499999999998295</c:v>
                </c:pt>
                <c:pt idx="1829">
                  <c:v>91.549999999998306</c:v>
                </c:pt>
                <c:pt idx="1830">
                  <c:v>91.599999999998303</c:v>
                </c:pt>
                <c:pt idx="1831">
                  <c:v>91.6499999999983</c:v>
                </c:pt>
                <c:pt idx="1832">
                  <c:v>91.699999999998298</c:v>
                </c:pt>
                <c:pt idx="1833">
                  <c:v>91.749999999998295</c:v>
                </c:pt>
                <c:pt idx="1834">
                  <c:v>91.799999999998306</c:v>
                </c:pt>
                <c:pt idx="1835">
                  <c:v>91.849999999998204</c:v>
                </c:pt>
                <c:pt idx="1836">
                  <c:v>91.8999999999983</c:v>
                </c:pt>
                <c:pt idx="1837">
                  <c:v>91.949999999998298</c:v>
                </c:pt>
                <c:pt idx="1838">
                  <c:v>91.999999999998295</c:v>
                </c:pt>
                <c:pt idx="1839">
                  <c:v>92.049999999998306</c:v>
                </c:pt>
                <c:pt idx="1840">
                  <c:v>92.099999999998204</c:v>
                </c:pt>
                <c:pt idx="1841">
                  <c:v>92.149999999998201</c:v>
                </c:pt>
                <c:pt idx="1842">
                  <c:v>92.199999999998198</c:v>
                </c:pt>
                <c:pt idx="1843">
                  <c:v>92.249999999998295</c:v>
                </c:pt>
                <c:pt idx="1844">
                  <c:v>92.299999999998306</c:v>
                </c:pt>
                <c:pt idx="1845">
                  <c:v>92.349999999998204</c:v>
                </c:pt>
                <c:pt idx="1846">
                  <c:v>92.399999999998201</c:v>
                </c:pt>
                <c:pt idx="1847">
                  <c:v>92.449999999998198</c:v>
                </c:pt>
                <c:pt idx="1848">
                  <c:v>92.499999999998195</c:v>
                </c:pt>
                <c:pt idx="1849">
                  <c:v>92.549999999998207</c:v>
                </c:pt>
                <c:pt idx="1850">
                  <c:v>92.599999999998204</c:v>
                </c:pt>
                <c:pt idx="1851">
                  <c:v>92.649999999998201</c:v>
                </c:pt>
                <c:pt idx="1852">
                  <c:v>92.699999999998198</c:v>
                </c:pt>
                <c:pt idx="1853">
                  <c:v>92.749999999998195</c:v>
                </c:pt>
                <c:pt idx="1854">
                  <c:v>92.799999999998207</c:v>
                </c:pt>
                <c:pt idx="1855">
                  <c:v>92.849999999998204</c:v>
                </c:pt>
                <c:pt idx="1856">
                  <c:v>92.899999999998201</c:v>
                </c:pt>
                <c:pt idx="1857">
                  <c:v>92.949999999998198</c:v>
                </c:pt>
                <c:pt idx="1858">
                  <c:v>92.999999999998195</c:v>
                </c:pt>
                <c:pt idx="1859">
                  <c:v>93.049999999998207</c:v>
                </c:pt>
                <c:pt idx="1860">
                  <c:v>93.099999999998204</c:v>
                </c:pt>
                <c:pt idx="1861">
                  <c:v>93.149999999998201</c:v>
                </c:pt>
                <c:pt idx="1862">
                  <c:v>93.199999999998198</c:v>
                </c:pt>
                <c:pt idx="1863">
                  <c:v>93.249999999998195</c:v>
                </c:pt>
                <c:pt idx="1864">
                  <c:v>93.299999999998207</c:v>
                </c:pt>
                <c:pt idx="1865">
                  <c:v>93.349999999998204</c:v>
                </c:pt>
                <c:pt idx="1866">
                  <c:v>93.399999999998201</c:v>
                </c:pt>
                <c:pt idx="1867">
                  <c:v>93.449999999998198</c:v>
                </c:pt>
                <c:pt idx="1868">
                  <c:v>93.499999999998195</c:v>
                </c:pt>
                <c:pt idx="1869">
                  <c:v>93.549999999998207</c:v>
                </c:pt>
                <c:pt idx="1870">
                  <c:v>93.599999999998204</c:v>
                </c:pt>
                <c:pt idx="1871">
                  <c:v>93.649999999998201</c:v>
                </c:pt>
                <c:pt idx="1872">
                  <c:v>93.699999999998198</c:v>
                </c:pt>
                <c:pt idx="1873">
                  <c:v>93.749999999998195</c:v>
                </c:pt>
                <c:pt idx="1874">
                  <c:v>93.799999999998207</c:v>
                </c:pt>
                <c:pt idx="1875">
                  <c:v>93.849999999998204</c:v>
                </c:pt>
                <c:pt idx="1876">
                  <c:v>93.899999999998201</c:v>
                </c:pt>
                <c:pt idx="1877">
                  <c:v>93.949999999998198</c:v>
                </c:pt>
                <c:pt idx="1878">
                  <c:v>93.999999999998195</c:v>
                </c:pt>
                <c:pt idx="1879">
                  <c:v>94.049999999998207</c:v>
                </c:pt>
                <c:pt idx="1880">
                  <c:v>94.099999999998204</c:v>
                </c:pt>
                <c:pt idx="1881">
                  <c:v>94.149999999998201</c:v>
                </c:pt>
                <c:pt idx="1882">
                  <c:v>94.199999999998198</c:v>
                </c:pt>
                <c:pt idx="1883">
                  <c:v>94.249999999998195</c:v>
                </c:pt>
                <c:pt idx="1884">
                  <c:v>94.299999999998207</c:v>
                </c:pt>
                <c:pt idx="1885">
                  <c:v>94.349999999998204</c:v>
                </c:pt>
                <c:pt idx="1886">
                  <c:v>94.399999999998201</c:v>
                </c:pt>
                <c:pt idx="1887">
                  <c:v>94.449999999998198</c:v>
                </c:pt>
                <c:pt idx="1888">
                  <c:v>94.499999999998195</c:v>
                </c:pt>
                <c:pt idx="1889">
                  <c:v>94.549999999998207</c:v>
                </c:pt>
                <c:pt idx="1890">
                  <c:v>94.599999999998204</c:v>
                </c:pt>
                <c:pt idx="1891">
                  <c:v>94.649999999998201</c:v>
                </c:pt>
                <c:pt idx="1892">
                  <c:v>94.699999999998198</c:v>
                </c:pt>
                <c:pt idx="1893">
                  <c:v>94.749999999998195</c:v>
                </c:pt>
                <c:pt idx="1894">
                  <c:v>94.799999999998207</c:v>
                </c:pt>
                <c:pt idx="1895">
                  <c:v>94.849999999998204</c:v>
                </c:pt>
                <c:pt idx="1896">
                  <c:v>94.899999999998201</c:v>
                </c:pt>
                <c:pt idx="1897">
                  <c:v>94.949999999998198</c:v>
                </c:pt>
                <c:pt idx="1898">
                  <c:v>94.999999999998195</c:v>
                </c:pt>
                <c:pt idx="1899">
                  <c:v>95.049999999998207</c:v>
                </c:pt>
                <c:pt idx="1900">
                  <c:v>95.099999999998204</c:v>
                </c:pt>
                <c:pt idx="1901">
                  <c:v>95.149999999998201</c:v>
                </c:pt>
                <c:pt idx="1902">
                  <c:v>95.199999999998198</c:v>
                </c:pt>
                <c:pt idx="1903">
                  <c:v>95.249999999998195</c:v>
                </c:pt>
                <c:pt idx="1904">
                  <c:v>95.299999999998207</c:v>
                </c:pt>
                <c:pt idx="1905">
                  <c:v>95.349999999998204</c:v>
                </c:pt>
                <c:pt idx="1906">
                  <c:v>95.399999999998201</c:v>
                </c:pt>
                <c:pt idx="1907">
                  <c:v>95.449999999998198</c:v>
                </c:pt>
                <c:pt idx="1908">
                  <c:v>95.499999999998195</c:v>
                </c:pt>
                <c:pt idx="1909">
                  <c:v>95.549999999998207</c:v>
                </c:pt>
                <c:pt idx="1910">
                  <c:v>95.599999999998204</c:v>
                </c:pt>
                <c:pt idx="1911">
                  <c:v>95.649999999998201</c:v>
                </c:pt>
                <c:pt idx="1912">
                  <c:v>95.699999999998198</c:v>
                </c:pt>
                <c:pt idx="1913">
                  <c:v>95.749999999998195</c:v>
                </c:pt>
                <c:pt idx="1914">
                  <c:v>95.799999999998207</c:v>
                </c:pt>
                <c:pt idx="1915">
                  <c:v>95.849999999998204</c:v>
                </c:pt>
                <c:pt idx="1916">
                  <c:v>95.899999999998201</c:v>
                </c:pt>
                <c:pt idx="1917">
                  <c:v>95.949999999998198</c:v>
                </c:pt>
                <c:pt idx="1918">
                  <c:v>95.999999999998195</c:v>
                </c:pt>
                <c:pt idx="1919">
                  <c:v>96.049999999998207</c:v>
                </c:pt>
                <c:pt idx="1920">
                  <c:v>96.099999999998204</c:v>
                </c:pt>
                <c:pt idx="1921">
                  <c:v>96.149999999998201</c:v>
                </c:pt>
                <c:pt idx="1922">
                  <c:v>96.199999999998198</c:v>
                </c:pt>
                <c:pt idx="1923">
                  <c:v>96.249999999998195</c:v>
                </c:pt>
                <c:pt idx="1924">
                  <c:v>96.299999999998207</c:v>
                </c:pt>
                <c:pt idx="1925">
                  <c:v>96.349999999998204</c:v>
                </c:pt>
                <c:pt idx="1926">
                  <c:v>96.399999999998201</c:v>
                </c:pt>
                <c:pt idx="1927">
                  <c:v>96.449999999998198</c:v>
                </c:pt>
                <c:pt idx="1928">
                  <c:v>96.499999999998195</c:v>
                </c:pt>
                <c:pt idx="1929">
                  <c:v>96.549999999998207</c:v>
                </c:pt>
                <c:pt idx="1930">
                  <c:v>96.599999999998104</c:v>
                </c:pt>
                <c:pt idx="1931">
                  <c:v>96.649999999998101</c:v>
                </c:pt>
                <c:pt idx="1932">
                  <c:v>96.699999999998198</c:v>
                </c:pt>
                <c:pt idx="1933">
                  <c:v>96.749999999998195</c:v>
                </c:pt>
                <c:pt idx="1934">
                  <c:v>96.799999999998207</c:v>
                </c:pt>
                <c:pt idx="1935">
                  <c:v>96.849999999998104</c:v>
                </c:pt>
                <c:pt idx="1936">
                  <c:v>96.899999999998101</c:v>
                </c:pt>
                <c:pt idx="1937">
                  <c:v>96.949999999998099</c:v>
                </c:pt>
                <c:pt idx="1938">
                  <c:v>96.999999999998096</c:v>
                </c:pt>
                <c:pt idx="1939">
                  <c:v>97.049999999998207</c:v>
                </c:pt>
                <c:pt idx="1940">
                  <c:v>97.099999999998104</c:v>
                </c:pt>
                <c:pt idx="1941">
                  <c:v>97.149999999998101</c:v>
                </c:pt>
                <c:pt idx="1942">
                  <c:v>97.199999999998099</c:v>
                </c:pt>
                <c:pt idx="1943">
                  <c:v>97.249999999998096</c:v>
                </c:pt>
                <c:pt idx="1944">
                  <c:v>97.299999999998093</c:v>
                </c:pt>
                <c:pt idx="1945">
                  <c:v>97.349999999998104</c:v>
                </c:pt>
                <c:pt idx="1946">
                  <c:v>97.399999999998101</c:v>
                </c:pt>
                <c:pt idx="1947">
                  <c:v>97.449999999998099</c:v>
                </c:pt>
                <c:pt idx="1948">
                  <c:v>97.499999999998096</c:v>
                </c:pt>
                <c:pt idx="1949">
                  <c:v>97.549999999998093</c:v>
                </c:pt>
                <c:pt idx="1950">
                  <c:v>97.599999999998104</c:v>
                </c:pt>
                <c:pt idx="1951">
                  <c:v>97.649999999998101</c:v>
                </c:pt>
                <c:pt idx="1952">
                  <c:v>97.699999999998099</c:v>
                </c:pt>
                <c:pt idx="1953">
                  <c:v>97.749999999998096</c:v>
                </c:pt>
                <c:pt idx="1954">
                  <c:v>97.799999999998093</c:v>
                </c:pt>
                <c:pt idx="1955">
                  <c:v>97.849999999998104</c:v>
                </c:pt>
                <c:pt idx="1956">
                  <c:v>97.899999999998101</c:v>
                </c:pt>
                <c:pt idx="1957">
                  <c:v>97.949999999998099</c:v>
                </c:pt>
                <c:pt idx="1958">
                  <c:v>97.999999999998096</c:v>
                </c:pt>
                <c:pt idx="1959">
                  <c:v>98.049999999998093</c:v>
                </c:pt>
                <c:pt idx="1960">
                  <c:v>98.099999999998104</c:v>
                </c:pt>
                <c:pt idx="1961">
                  <c:v>98.149999999998101</c:v>
                </c:pt>
                <c:pt idx="1962">
                  <c:v>98.199999999998099</c:v>
                </c:pt>
                <c:pt idx="1963">
                  <c:v>98.249999999998096</c:v>
                </c:pt>
                <c:pt idx="1964">
                  <c:v>98.299999999998093</c:v>
                </c:pt>
                <c:pt idx="1965">
                  <c:v>98.349999999998104</c:v>
                </c:pt>
                <c:pt idx="1966">
                  <c:v>98.399999999998101</c:v>
                </c:pt>
                <c:pt idx="1967">
                  <c:v>98.449999999998099</c:v>
                </c:pt>
                <c:pt idx="1968">
                  <c:v>98.499999999998096</c:v>
                </c:pt>
                <c:pt idx="1969">
                  <c:v>98.549999999998093</c:v>
                </c:pt>
                <c:pt idx="1970">
                  <c:v>98.599999999998104</c:v>
                </c:pt>
                <c:pt idx="1971">
                  <c:v>98.649999999998101</c:v>
                </c:pt>
                <c:pt idx="1972">
                  <c:v>98.699999999998099</c:v>
                </c:pt>
                <c:pt idx="1973">
                  <c:v>98.749999999998096</c:v>
                </c:pt>
                <c:pt idx="1974">
                  <c:v>98.799999999998093</c:v>
                </c:pt>
                <c:pt idx="1975">
                  <c:v>98.849999999998104</c:v>
                </c:pt>
                <c:pt idx="1976">
                  <c:v>98.899999999998101</c:v>
                </c:pt>
                <c:pt idx="1977">
                  <c:v>98.949999999998099</c:v>
                </c:pt>
                <c:pt idx="1978">
                  <c:v>98.999999999998096</c:v>
                </c:pt>
                <c:pt idx="1979">
                  <c:v>99.049999999998093</c:v>
                </c:pt>
                <c:pt idx="1980">
                  <c:v>99.099999999998104</c:v>
                </c:pt>
                <c:pt idx="1981">
                  <c:v>99.149999999998101</c:v>
                </c:pt>
                <c:pt idx="1982">
                  <c:v>99.199999999998099</c:v>
                </c:pt>
                <c:pt idx="1983">
                  <c:v>99.249999999998096</c:v>
                </c:pt>
                <c:pt idx="1984">
                  <c:v>99.299999999998093</c:v>
                </c:pt>
                <c:pt idx="1985">
                  <c:v>99.349999999998104</c:v>
                </c:pt>
                <c:pt idx="1986">
                  <c:v>99.399999999998101</c:v>
                </c:pt>
                <c:pt idx="1987">
                  <c:v>99.449999999998099</c:v>
                </c:pt>
                <c:pt idx="1988">
                  <c:v>99.499999999998096</c:v>
                </c:pt>
                <c:pt idx="1989">
                  <c:v>99.549999999998093</c:v>
                </c:pt>
                <c:pt idx="1990">
                  <c:v>99.599999999998104</c:v>
                </c:pt>
                <c:pt idx="1991">
                  <c:v>99.649999999998101</c:v>
                </c:pt>
                <c:pt idx="1992">
                  <c:v>99.699999999998099</c:v>
                </c:pt>
                <c:pt idx="1993">
                  <c:v>99.749999999998096</c:v>
                </c:pt>
                <c:pt idx="1994">
                  <c:v>99.799999999998093</c:v>
                </c:pt>
                <c:pt idx="1995">
                  <c:v>99.849999999998104</c:v>
                </c:pt>
                <c:pt idx="1996">
                  <c:v>99.899999999998101</c:v>
                </c:pt>
                <c:pt idx="1997">
                  <c:v>99.949999999998099</c:v>
                </c:pt>
                <c:pt idx="1998">
                  <c:v>99.999999999998096</c:v>
                </c:pt>
              </c:numCache>
            </c:numRef>
          </c:xVal>
          <c:yVal>
            <c:numRef>
              <c:f>Mainsheet!$B$46:$B$2044</c:f>
              <c:numCache>
                <c:formatCode>General</c:formatCode>
                <c:ptCount val="1999"/>
                <c:pt idx="0">
                  <c:v>628.21446265003055</c:v>
                </c:pt>
                <c:pt idx="1">
                  <c:v>323085.1134872571</c:v>
                </c:pt>
                <c:pt idx="2">
                  <c:v>4791347.3680714397</c:v>
                </c:pt>
                <c:pt idx="3">
                  <c:v>18768374.908851862</c:v>
                </c:pt>
                <c:pt idx="4">
                  <c:v>39440593.649520695</c:v>
                </c:pt>
                <c:pt idx="5">
                  <c:v>59505333.104991429</c:v>
                </c:pt>
                <c:pt idx="6">
                  <c:v>74119904.03141439</c:v>
                </c:pt>
                <c:pt idx="7">
                  <c:v>82101757.153617486</c:v>
                </c:pt>
                <c:pt idx="8">
                  <c:v>84392656.400436878</c:v>
                </c:pt>
                <c:pt idx="9">
                  <c:v>82603513.792470545</c:v>
                </c:pt>
                <c:pt idx="10">
                  <c:v>78256525.364372209</c:v>
                </c:pt>
                <c:pt idx="11">
                  <c:v>72527699.704624087</c:v>
                </c:pt>
                <c:pt idx="12">
                  <c:v>66230657.011836529</c:v>
                </c:pt>
                <c:pt idx="13">
                  <c:v>59885146.916938953</c:v>
                </c:pt>
                <c:pt idx="14">
                  <c:v>53798714.216645651</c:v>
                </c:pt>
                <c:pt idx="15">
                  <c:v>48135905.426299639</c:v>
                </c:pt>
                <c:pt idx="16">
                  <c:v>42969668.068943553</c:v>
                </c:pt>
                <c:pt idx="17">
                  <c:v>38316938.881115288</c:v>
                </c:pt>
                <c:pt idx="18">
                  <c:v>34162210.187932268</c:v>
                </c:pt>
                <c:pt idx="19">
                  <c:v>30472622.84081272</c:v>
                </c:pt>
                <c:pt idx="20">
                  <c:v>27207345.393137194</c:v>
                </c:pt>
                <c:pt idx="21">
                  <c:v>24323212.236461829</c:v>
                </c:pt>
                <c:pt idx="22">
                  <c:v>21777966.781753935</c:v>
                </c:pt>
                <c:pt idx="23">
                  <c:v>19532002.098483808</c:v>
                </c:pt>
                <c:pt idx="24">
                  <c:v>17549179.076500468</c:v>
                </c:pt>
                <c:pt idx="25">
                  <c:v>15797093.429458693</c:v>
                </c:pt>
                <c:pt idx="26">
                  <c:v>14247025.988959817</c:v>
                </c:pt>
                <c:pt idx="27">
                  <c:v>12873722.184521003</c:v>
                </c:pt>
                <c:pt idx="28">
                  <c:v>11655089.902213108</c:v>
                </c:pt>
                <c:pt idx="29">
                  <c:v>10571868.945300829</c:v>
                </c:pt>
                <c:pt idx="30">
                  <c:v>9607302.7261631247</c:v>
                </c:pt>
                <c:pt idx="31">
                  <c:v>8746828.7940096147</c:v>
                </c:pt>
                <c:pt idx="32">
                  <c:v>7977796.2340540597</c:v>
                </c:pt>
                <c:pt idx="33">
                  <c:v>7289212.8557386119</c:v>
                </c:pt>
                <c:pt idx="34">
                  <c:v>6671522.1347173955</c:v>
                </c:pt>
                <c:pt idx="35">
                  <c:v>6116408.2646364029</c:v>
                </c:pt>
                <c:pt idx="36">
                  <c:v>5616626.8882788289</c:v>
                </c:pt>
                <c:pt idx="37">
                  <c:v>5165858.7832259191</c:v>
                </c:pt>
                <c:pt idx="38">
                  <c:v>4758583.7674809685</c:v>
                </c:pt>
                <c:pt idx="39">
                  <c:v>4389972.2366133761</c:v>
                </c:pt>
                <c:pt idx="40">
                  <c:v>4055791.9669027673</c:v>
                </c:pt>
                <c:pt idx="41">
                  <c:v>3752328.0713126184</c:v>
                </c:pt>
                <c:pt idx="42">
                  <c:v>3476314.2493968904</c:v>
                </c:pt>
                <c:pt idx="43">
                  <c:v>3224873.7133301725</c:v>
                </c:pt>
                <c:pt idx="44">
                  <c:v>2995468.3926490233</c:v>
                </c:pt>
                <c:pt idx="45">
                  <c:v>2785855.2170737926</c:v>
                </c:pt>
                <c:pt idx="46">
                  <c:v>2594048.4496830315</c:v>
                </c:pt>
                <c:pt idx="47">
                  <c:v>2418287.1929429411</c:v>
                </c:pt>
                <c:pt idx="48">
                  <c:v>2257007.3195917713</c:v>
                </c:pt>
                <c:pt idx="49">
                  <c:v>2108817.1913733864</c:v>
                </c:pt>
                <c:pt idx="50">
                  <c:v>1972476.6233672111</c:v>
                </c:pt>
                <c:pt idx="51">
                  <c:v>1846878.6323229258</c:v>
                </c:pt>
                <c:pt idx="52">
                  <c:v>1731033.575944474</c:v>
                </c:pt>
                <c:pt idx="53">
                  <c:v>1624055.3482332332</c:v>
                </c:pt>
                <c:pt idx="54">
                  <c:v>1525149.3453331671</c:v>
                </c:pt>
                <c:pt idx="55">
                  <c:v>1433601.9581547251</c:v>
                </c:pt>
                <c:pt idx="56">
                  <c:v>1348771.383534377</c:v>
                </c:pt>
                <c:pt idx="57">
                  <c:v>1270079.5757909487</c:v>
                </c:pt>
                <c:pt idx="58">
                  <c:v>1197005.1860992827</c:v>
                </c:pt>
                <c:pt idx="59">
                  <c:v>1129077.3588201306</c:v>
                </c:pt>
                <c:pt idx="60">
                  <c:v>1065870.2723976092</c:v>
                </c:pt>
                <c:pt idx="61">
                  <c:v>1006998.3281638985</c:v>
                </c:pt>
                <c:pt idx="62">
                  <c:v>952111.90379841835</c:v>
                </c:pt>
                <c:pt idx="63">
                  <c:v>900893.5996320222</c:v>
                </c:pt>
                <c:pt idx="64">
                  <c:v>853054.91576610052</c:v>
                </c:pt>
                <c:pt idx="65">
                  <c:v>808333.3063451167</c:v>
                </c:pt>
                <c:pt idx="66">
                  <c:v>766489.56449213508</c:v>
                </c:pt>
                <c:pt idx="67">
                  <c:v>727305.49757040001</c:v>
                </c:pt>
                <c:pt idx="68">
                  <c:v>690581.85772174934</c:v>
                </c:pt>
                <c:pt idx="69">
                  <c:v>656136.4971828108</c:v>
                </c:pt>
                <c:pt idx="70">
                  <c:v>623802.72180109669</c:v>
                </c:pt>
                <c:pt idx="71">
                  <c:v>593427.81955691078</c:v>
                </c:pt>
                <c:pt idx="72">
                  <c:v>564871.74382133596</c:v>
                </c:pt>
                <c:pt idx="73">
                  <c:v>538005.93361136573</c:v>
                </c:pt>
                <c:pt idx="74">
                  <c:v>512712.25529656094</c:v>
                </c:pt>
                <c:pt idx="75">
                  <c:v>488882.05211512878</c:v>
                </c:pt>
                <c:pt idx="76">
                  <c:v>466415.28951160749</c:v>
                </c:pt>
                <c:pt idx="77">
                  <c:v>445219.78574799944</c:v>
                </c:pt>
                <c:pt idx="78">
                  <c:v>425210.51849482564</c:v>
                </c:pt>
                <c:pt idx="79">
                  <c:v>406308.99920335773</c:v>
                </c:pt>
                <c:pt idx="80">
                  <c:v>388442.70801693841</c:v>
                </c:pt>
                <c:pt idx="81">
                  <c:v>371544.58281628747</c:v>
                </c:pt>
                <c:pt idx="82">
                  <c:v>355552.55672697513</c:v>
                </c:pt>
                <c:pt idx="83">
                  <c:v>340409.13906047028</c:v>
                </c:pt>
                <c:pt idx="84">
                  <c:v>326061.03522513848</c:v>
                </c:pt>
                <c:pt idx="85">
                  <c:v>312458.80164038466</c:v>
                </c:pt>
                <c:pt idx="86">
                  <c:v>299556.53212458891</c:v>
                </c:pt>
                <c:pt idx="87">
                  <c:v>287311.57261312701</c:v>
                </c:pt>
                <c:pt idx="88">
                  <c:v>275684.26140312257</c:v>
                </c:pt>
                <c:pt idx="89">
                  <c:v>264637.69242235221</c:v>
                </c:pt>
                <c:pt idx="90">
                  <c:v>254137.49928579526</c:v>
                </c:pt>
                <c:pt idx="91">
                  <c:v>244151.65813897568</c:v>
                </c:pt>
                <c:pt idx="92">
                  <c:v>234650.30749620113</c:v>
                </c:pt>
                <c:pt idx="93">
                  <c:v>225605.58346727633</c:v>
                </c:pt>
                <c:pt idx="94">
                  <c:v>216991.46893108741</c:v>
                </c:pt>
                <c:pt idx="95">
                  <c:v>208783.65536107568</c:v>
                </c:pt>
                <c:pt idx="96">
                  <c:v>200959.41613818004</c:v>
                </c:pt>
                <c:pt idx="97">
                  <c:v>193497.49030322532</c:v>
                </c:pt>
                <c:pt idx="98">
                  <c:v>186377.97580458861</c:v>
                </c:pt>
                <c:pt idx="99">
                  <c:v>179582.2313897612</c:v>
                </c:pt>
                <c:pt idx="100">
                  <c:v>173092.78637236674</c:v>
                </c:pt>
                <c:pt idx="101">
                  <c:v>166893.25758044995</c:v>
                </c:pt>
                <c:pt idx="102">
                  <c:v>160968.27285835936</c:v>
                </c:pt>
                <c:pt idx="103">
                  <c:v>155303.40055419228</c:v>
                </c:pt>
                <c:pt idx="104">
                  <c:v>149885.08447830699</c:v>
                </c:pt>
                <c:pt idx="105">
                  <c:v>144700.58386649776</c:v>
                </c:pt>
                <c:pt idx="106">
                  <c:v>139737.9179246753</c:v>
                </c:pt>
                <c:pt idx="107">
                  <c:v>134985.81457081847</c:v>
                </c:pt>
                <c:pt idx="108">
                  <c:v>130433.66302501617</c:v>
                </c:pt>
                <c:pt idx="109">
                  <c:v>126071.46993003388</c:v>
                </c:pt>
                <c:pt idx="110">
                  <c:v>121889.81871335367</c:v>
                </c:pt>
                <c:pt idx="111">
                  <c:v>117879.83192739481</c:v>
                </c:pt>
                <c:pt idx="112">
                  <c:v>114033.1363279036</c:v>
                </c:pt>
                <c:pt idx="113">
                  <c:v>110341.83047155371</c:v>
                </c:pt>
                <c:pt idx="114">
                  <c:v>106798.45463286627</c:v>
                </c:pt>
                <c:pt idx="115">
                  <c:v>103395.96285782615</c:v>
                </c:pt>
                <c:pt idx="116">
                  <c:v>100127.69698723227</c:v>
                </c:pt>
                <c:pt idx="117">
                  <c:v>96987.362497028866</c:v>
                </c:pt>
                <c:pt idx="118">
                  <c:v>93969.006015767271</c:v>
                </c:pt>
                <c:pt idx="119">
                  <c:v>91066.994391074521</c:v>
                </c:pt>
                <c:pt idx="120">
                  <c:v>88275.995187668654</c:v>
                </c:pt>
                <c:pt idx="121">
                  <c:v>85590.958509164164</c:v>
                </c:pt>
                <c:pt idx="122">
                  <c:v>83007.100044752398</c:v>
                </c:pt>
                <c:pt idx="123">
                  <c:v>80519.885249891828</c:v>
                </c:pt>
                <c:pt idx="124">
                  <c:v>78125.014577495167</c:v>
                </c:pt>
                <c:pt idx="125">
                  <c:v>75818.409682799509</c:v>
                </c:pt>
                <c:pt idx="126">
                  <c:v>73596.200531230599</c:v>
                </c:pt>
                <c:pt idx="127">
                  <c:v>71454.713344166361</c:v>
                </c:pt>
                <c:pt idx="128">
                  <c:v>69390.4593226211</c:v>
                </c:pt>
                <c:pt idx="129">
                  <c:v>67400.124093553663</c:v>
                </c:pt>
                <c:pt idx="130">
                  <c:v>65480.557827787889</c:v>
                </c:pt>
                <c:pt idx="131">
                  <c:v>63628.765982461693</c:v>
                </c:pt>
                <c:pt idx="132">
                  <c:v>61841.90062452088</c:v>
                </c:pt>
                <c:pt idx="133">
                  <c:v>60117.252295075305</c:v>
                </c:pt>
                <c:pt idx="134">
                  <c:v>58452.242377467628</c:v>
                </c:pt>
                <c:pt idx="135">
                  <c:v>56844.415934686927</c:v>
                </c:pt>
                <c:pt idx="136">
                  <c:v>55291.434984318279</c:v>
                </c:pt>
                <c:pt idx="137">
                  <c:v>53791.072181571741</c:v>
                </c:pt>
                <c:pt idx="138">
                  <c:v>52341.204883096878</c:v>
                </c:pt>
                <c:pt idx="139">
                  <c:v>50939.809566282514</c:v>
                </c:pt>
                <c:pt idx="140">
                  <c:v>49584.956580574319</c:v>
                </c:pt>
                <c:pt idx="141">
                  <c:v>48274.805209034261</c:v>
                </c:pt>
                <c:pt idx="142">
                  <c:v>47007.599019924703</c:v>
                </c:pt>
                <c:pt idx="143">
                  <c:v>45781.661489537997</c:v>
                </c:pt>
                <c:pt idx="144">
                  <c:v>44595.391878818635</c:v>
                </c:pt>
                <c:pt idx="145">
                  <c:v>43447.261347553052</c:v>
                </c:pt>
                <c:pt idx="146">
                  <c:v>42335.809291031743</c:v>
                </c:pt>
                <c:pt idx="147">
                  <c:v>41259.639885138269</c:v>
                </c:pt>
                <c:pt idx="148">
                  <c:v>40217.41882678555</c:v>
                </c:pt>
                <c:pt idx="149">
                  <c:v>39207.87025751749</c:v>
                </c:pt>
                <c:pt idx="150">
                  <c:v>38229.773858923225</c:v>
                </c:pt>
                <c:pt idx="151">
                  <c:v>37281.962109279164</c:v>
                </c:pt>
                <c:pt idx="152">
                  <c:v>36363.317691546486</c:v>
                </c:pt>
                <c:pt idx="153">
                  <c:v>35472.771043512003</c:v>
                </c:pt>
                <c:pt idx="154">
                  <c:v>34609.298041472495</c:v>
                </c:pt>
                <c:pt idx="155">
                  <c:v>33771.91780943099</c:v>
                </c:pt>
                <c:pt idx="156">
                  <c:v>32959.690646300958</c:v>
                </c:pt>
                <c:pt idx="157">
                  <c:v>32171.716064104792</c:v>
                </c:pt>
                <c:pt idx="158">
                  <c:v>31407.13093060756</c:v>
                </c:pt>
                <c:pt idx="159">
                  <c:v>30665.10771025157</c:v>
                </c:pt>
                <c:pt idx="160">
                  <c:v>29944.85279764987</c:v>
                </c:pt>
                <c:pt idx="161">
                  <c:v>29245.604938263838</c:v>
                </c:pt>
                <c:pt idx="162">
                  <c:v>28566.633731231039</c:v>
                </c:pt>
                <c:pt idx="163">
                  <c:v>27907.238209626506</c:v>
                </c:pt>
                <c:pt idx="164">
                  <c:v>27266.745493737573</c:v>
                </c:pt>
                <c:pt idx="165">
                  <c:v>26644.509513207075</c:v>
                </c:pt>
                <c:pt idx="166">
                  <c:v>26039.909794157236</c:v>
                </c:pt>
                <c:pt idx="167">
                  <c:v>25452.35030764703</c:v>
                </c:pt>
                <c:pt idx="168">
                  <c:v>24881.258376038157</c:v>
                </c:pt>
                <c:pt idx="169">
                  <c:v>24326.083634055522</c:v>
                </c:pt>
                <c:pt idx="170">
                  <c:v>23786.297041521331</c:v>
                </c:pt>
                <c:pt idx="171">
                  <c:v>23261.389944925748</c:v>
                </c:pt>
                <c:pt idx="172">
                  <c:v>22750.873185166496</c:v>
                </c:pt>
                <c:pt idx="173">
                  <c:v>22254.276248949169</c:v>
                </c:pt>
                <c:pt idx="174">
                  <c:v>21771.14646148941</c:v>
                </c:pt>
                <c:pt idx="175">
                  <c:v>21301.048218296786</c:v>
                </c:pt>
                <c:pt idx="176">
                  <c:v>20843.562253951175</c:v>
                </c:pt>
                <c:pt idx="177">
                  <c:v>20398.284945904572</c:v>
                </c:pt>
                <c:pt idx="178">
                  <c:v>19964.827651454987</c:v>
                </c:pt>
                <c:pt idx="179">
                  <c:v>19542.816076147203</c:v>
                </c:pt>
                <c:pt idx="180">
                  <c:v>19131.889671954938</c:v>
                </c:pt>
                <c:pt idx="181">
                  <c:v>18731.701063693268</c:v>
                </c:pt>
                <c:pt idx="182">
                  <c:v>18341.915502198812</c:v>
                </c:pt>
                <c:pt idx="183">
                  <c:v>17962.210342897564</c:v>
                </c:pt>
                <c:pt idx="184">
                  <c:v>17592.274548458579</c:v>
                </c:pt>
                <c:pt idx="185">
                  <c:v>17231.808214304263</c:v>
                </c:pt>
                <c:pt idx="186">
                  <c:v>16880.522115816861</c:v>
                </c:pt>
                <c:pt idx="187">
                  <c:v>16538.137276145349</c:v>
                </c:pt>
                <c:pt idx="188">
                  <c:v>16204.384553576925</c:v>
                </c:pt>
                <c:pt idx="189">
                  <c:v>15879.004247494864</c:v>
                </c:pt>
                <c:pt idx="190">
                  <c:v>15561.745721997655</c:v>
                </c:pt>
                <c:pt idx="191">
                  <c:v>15252.367046304629</c:v>
                </c:pt>
                <c:pt idx="192">
                  <c:v>14950.63465112118</c:v>
                </c:pt>
                <c:pt idx="193">
                  <c:v>14656.323000180464</c:v>
                </c:pt>
                <c:pt idx="194">
                  <c:v>14369.214276221272</c:v>
                </c:pt>
                <c:pt idx="195">
                  <c:v>14089.098080700809</c:v>
                </c:pt>
                <c:pt idx="196">
                  <c:v>13815.7711465784</c:v>
                </c:pt>
                <c:pt idx="197">
                  <c:v>13549.03706354158</c:v>
                </c:pt>
                <c:pt idx="198">
                  <c:v>13288.706015078671</c:v>
                </c:pt>
                <c:pt idx="199">
                  <c:v>13034.594526833569</c:v>
                </c:pt>
                <c:pt idx="200">
                  <c:v>12786.525225707477</c:v>
                </c:pt>
                <c:pt idx="201">
                  <c:v>12544.326609200541</c:v>
                </c:pt>
                <c:pt idx="202">
                  <c:v>12307.832824512079</c:v>
                </c:pt>
                <c:pt idx="203">
                  <c:v>12076.883456943229</c:v>
                </c:pt>
                <c:pt idx="204">
                  <c:v>11851.323327168926</c:v>
                </c:pt>
                <c:pt idx="205">
                  <c:v>11631.002296968301</c:v>
                </c:pt>
                <c:pt idx="206">
                  <c:v>11415.775083023342</c:v>
                </c:pt>
                <c:pt idx="207">
                  <c:v>11205.501078415535</c:v>
                </c:pt>
                <c:pt idx="208">
                  <c:v>11000.044181468416</c:v>
                </c:pt>
                <c:pt idx="209">
                  <c:v>10799.272631602229</c:v>
                </c:pt>
                <c:pt idx="210">
                  <c:v>10603.058851882688</c:v>
                </c:pt>
                <c:pt idx="211">
                  <c:v>10411.279297962295</c:v>
                </c:pt>
                <c:pt idx="212">
                  <c:v>10223.814313127232</c:v>
                </c:pt>
                <c:pt idx="213">
                  <c:v>10040.547989176861</c:v>
                </c:pt>
                <c:pt idx="214">
                  <c:v>9861.3680328765822</c:v>
                </c:pt>
                <c:pt idx="215">
                  <c:v>9686.1656377369345</c:v>
                </c:pt>
                <c:pt idx="216">
                  <c:v>9514.8353608842244</c:v>
                </c:pt>
                <c:pt idx="217">
                  <c:v>9347.2750047990739</c:v>
                </c:pt>
                <c:pt idx="218">
                  <c:v>9183.3855037101021</c:v>
                </c:pt>
                <c:pt idx="219">
                  <c:v>9023.070814440116</c:v>
                </c:pt>
                <c:pt idx="220">
                  <c:v>8866.237811511839</c:v>
                </c:pt>
                <c:pt idx="221">
                  <c:v>8712.7961863293203</c:v>
                </c:pt>
                <c:pt idx="222">
                  <c:v>8562.6583502600643</c:v>
                </c:pt>
                <c:pt idx="223">
                  <c:v>8415.7393414507678</c:v>
                </c:pt>
                <c:pt idx="224">
                  <c:v>8271.9567352177564</c:v>
                </c:pt>
                <c:pt idx="225">
                  <c:v>8131.2305578603964</c:v>
                </c:pt>
                <c:pt idx="226">
                  <c:v>7993.4832037529131</c:v>
                </c:pt>
                <c:pt idx="227">
                  <c:v>7858.6393555766717</c:v>
                </c:pt>
                <c:pt idx="228">
                  <c:v>7726.6259075613361</c:v>
                </c:pt>
                <c:pt idx="229">
                  <c:v>7597.3718916094485</c:v>
                </c:pt>
                <c:pt idx="230">
                  <c:v>7470.808406184572</c:v>
                </c:pt>
                <c:pt idx="231">
                  <c:v>7346.8685478486223</c:v>
                </c:pt>
                <c:pt idx="232">
                  <c:v>7225.4873453393284</c:v>
                </c:pt>
                <c:pt idx="233">
                  <c:v>7106.6016960834741</c:v>
                </c:pt>
                <c:pt idx="234">
                  <c:v>6990.1503050464562</c:v>
                </c:pt>
                <c:pt idx="235">
                  <c:v>6876.0736258229572</c:v>
                </c:pt>
                <c:pt idx="236">
                  <c:v>6764.3138038779607</c:v>
                </c:pt>
                <c:pt idx="237">
                  <c:v>6654.8146218512957</c:v>
                </c:pt>
                <c:pt idx="238">
                  <c:v>6547.5214468425829</c:v>
                </c:pt>
                <c:pt idx="239">
                  <c:v>6442.3811795974461</c:v>
                </c:pt>
                <c:pt idx="240">
                  <c:v>6339.3422055189685</c:v>
                </c:pt>
                <c:pt idx="241">
                  <c:v>6238.3543474319695</c:v>
                </c:pt>
                <c:pt idx="242">
                  <c:v>6139.3688200306815</c:v>
                </c:pt>
                <c:pt idx="243">
                  <c:v>6042.3381859434003</c:v>
                </c:pt>
                <c:pt idx="244">
                  <c:v>5947.2163133507593</c:v>
                </c:pt>
                <c:pt idx="245">
                  <c:v>5853.9583350966359</c:v>
                </c:pt>
                <c:pt idx="246">
                  <c:v>5762.5206092337021</c:v>
                </c:pt>
                <c:pt idx="247">
                  <c:v>5672.8606809478888</c:v>
                </c:pt>
                <c:pt idx="248">
                  <c:v>5584.9372458083089</c:v>
                </c:pt>
                <c:pt idx="249">
                  <c:v>5498.7101142918564</c:v>
                </c:pt>
                <c:pt idx="250">
                  <c:v>5414.1401775332588</c:v>
                </c:pt>
                <c:pt idx="251">
                  <c:v>5331.1893742540879</c:v>
                </c:pt>
                <c:pt idx="252">
                  <c:v>5249.8206588249013</c:v>
                </c:pt>
                <c:pt idx="253">
                  <c:v>5169.9979704197285</c:v>
                </c:pt>
                <c:pt idx="254">
                  <c:v>5091.6862032186727</c:v>
                </c:pt>
                <c:pt idx="255">
                  <c:v>5014.8511776213081</c:v>
                </c:pt>
                <c:pt idx="256">
                  <c:v>4939.4596124322143</c:v>
                </c:pt>
                <c:pt idx="257">
                  <c:v>4865.479097982331</c:v>
                </c:pt>
                <c:pt idx="258">
                  <c:v>4792.8780701513524</c:v>
                </c:pt>
                <c:pt idx="259">
                  <c:v>4721.6257852577237</c:v>
                </c:pt>
                <c:pt idx="260">
                  <c:v>4651.6922957841753</c:v>
                </c:pt>
                <c:pt idx="261">
                  <c:v>4583.0484269079961</c:v>
                </c:pt>
                <c:pt idx="262">
                  <c:v>4515.6657538066102</c:v>
                </c:pt>
                <c:pt idx="263">
                  <c:v>4449.5165797099562</c:v>
                </c:pt>
                <c:pt idx="264">
                  <c:v>4384.5739146726537</c:v>
                </c:pt>
                <c:pt idx="265">
                  <c:v>4320.8114550396949</c:v>
                </c:pt>
                <c:pt idx="266">
                  <c:v>4258.2035635806424</c:v>
                </c:pt>
                <c:pt idx="267">
                  <c:v>4196.7252502682322</c:v>
                </c:pt>
                <c:pt idx="268">
                  <c:v>4136.3521536782782</c:v>
                </c:pt>
                <c:pt idx="269">
                  <c:v>4077.0605229885655</c:v>
                </c:pt>
                <c:pt idx="270">
                  <c:v>4018.8272005554868</c:v>
                </c:pt>
                <c:pt idx="271">
                  <c:v>3961.6296050478563</c:v>
                </c:pt>
                <c:pt idx="272">
                  <c:v>3905.4457151181282</c:v>
                </c:pt>
                <c:pt idx="273">
                  <c:v>3850.2540535921371</c:v>
                </c:pt>
                <c:pt idx="274">
                  <c:v>3796.033672159137</c:v>
                </c:pt>
                <c:pt idx="275">
                  <c:v>3742.7641365445256</c:v>
                </c:pt>
                <c:pt idx="276">
                  <c:v>3690.425512148533</c:v>
                </c:pt>
                <c:pt idx="277">
                  <c:v>3638.9983501345632</c:v>
                </c:pt>
                <c:pt idx="278">
                  <c:v>3588.4636739516422</c:v>
                </c:pt>
                <c:pt idx="279">
                  <c:v>3538.8029662760296</c:v>
                </c:pt>
                <c:pt idx="280">
                  <c:v>3489.9981563574224</c:v>
                </c:pt>
                <c:pt idx="281">
                  <c:v>3442.0316077560733</c:v>
                </c:pt>
                <c:pt idx="282">
                  <c:v>3394.8861064572393</c:v>
                </c:pt>
                <c:pt idx="283">
                  <c:v>3348.5448493502854</c:v>
                </c:pt>
                <c:pt idx="284">
                  <c:v>3302.9914330599672</c:v>
                </c:pt>
                <c:pt idx="285">
                  <c:v>3258.209843117967</c:v>
                </c:pt>
                <c:pt idx="286">
                  <c:v>3214.1844434632744</c:v>
                </c:pt>
                <c:pt idx="287">
                  <c:v>3170.8999662602728</c:v>
                </c:pt>
                <c:pt idx="288">
                  <c:v>3128.34150202397</c:v>
                </c:pt>
                <c:pt idx="289">
                  <c:v>3086.4944900420405</c:v>
                </c:pt>
                <c:pt idx="290">
                  <c:v>3045.3447090838722</c:v>
                </c:pt>
                <c:pt idx="291">
                  <c:v>3004.8782683870154</c:v>
                </c:pt>
                <c:pt idx="292">
                  <c:v>2965.0815989119624</c:v>
                </c:pt>
                <c:pt idx="293">
                  <c:v>2925.9414448563084</c:v>
                </c:pt>
                <c:pt idx="294">
                  <c:v>2887.4448554198748</c:v>
                </c:pt>
                <c:pt idx="295">
                  <c:v>2849.5791768125</c:v>
                </c:pt>
                <c:pt idx="296">
                  <c:v>2812.3320444966166</c:v>
                </c:pt>
                <c:pt idx="297">
                  <c:v>2775.6913756569825</c:v>
                </c:pt>
                <c:pt idx="298">
                  <c:v>2739.6453618901664</c:v>
                </c:pt>
                <c:pt idx="299">
                  <c:v>2704.1824621067522</c:v>
                </c:pt>
                <c:pt idx="300">
                  <c:v>2669.291395639319</c:v>
                </c:pt>
                <c:pt idx="301">
                  <c:v>2634.9611355496704</c:v>
                </c:pt>
                <c:pt idx="302">
                  <c:v>2601.1809021288991</c:v>
                </c:pt>
                <c:pt idx="303">
                  <c:v>2567.9401565841199</c:v>
                </c:pt>
                <c:pt idx="304">
                  <c:v>2535.228594905996</c:v>
                </c:pt>
                <c:pt idx="305">
                  <c:v>2503.0361419112191</c:v>
                </c:pt>
                <c:pt idx="306">
                  <c:v>2471.3529454545483</c:v>
                </c:pt>
                <c:pt idx="307">
                  <c:v>2440.1693708049543</c:v>
                </c:pt>
                <c:pt idx="308">
                  <c:v>2409.4759951807591</c:v>
                </c:pt>
                <c:pt idx="309">
                  <c:v>2379.2636024388116</c:v>
                </c:pt>
                <c:pt idx="310">
                  <c:v>2349.5231779128644</c:v>
                </c:pt>
                <c:pt idx="311">
                  <c:v>2320.2459033965047</c:v>
                </c:pt>
                <c:pt idx="312">
                  <c:v>2291.4231522661876</c:v>
                </c:pt>
                <c:pt idx="313">
                  <c:v>2263.0464847400012</c:v>
                </c:pt>
                <c:pt idx="314">
                  <c:v>2235.1076432680238</c:v>
                </c:pt>
                <c:pt idx="315">
                  <c:v>2207.5985480501736</c:v>
                </c:pt>
                <c:pt idx="316">
                  <c:v>2180.5112926776992</c:v>
                </c:pt>
                <c:pt idx="317">
                  <c:v>2153.8381398945094</c:v>
                </c:pt>
                <c:pt idx="318">
                  <c:v>2127.5715174746615</c:v>
                </c:pt>
                <c:pt idx="319">
                  <c:v>2101.7040142125688</c:v>
                </c:pt>
                <c:pt idx="320">
                  <c:v>2076.2283760224113</c:v>
                </c:pt>
                <c:pt idx="321">
                  <c:v>2051.1375021435306</c:v>
                </c:pt>
                <c:pt idx="322">
                  <c:v>2026.4244414485886</c:v>
                </c:pt>
                <c:pt idx="323">
                  <c:v>2002.0823888514117</c:v>
                </c:pt>
                <c:pt idx="324">
                  <c:v>1978.104681811531</c:v>
                </c:pt>
                <c:pt idx="325">
                  <c:v>1954.4847969325649</c:v>
                </c:pt>
                <c:pt idx="326">
                  <c:v>1931.2163466516117</c:v>
                </c:pt>
                <c:pt idx="327">
                  <c:v>1908.2930760169872</c:v>
                </c:pt>
                <c:pt idx="328">
                  <c:v>1885.70885955169</c:v>
                </c:pt>
                <c:pt idx="329">
                  <c:v>1863.4576982000615</c:v>
                </c:pt>
                <c:pt idx="330">
                  <c:v>1841.5337163551878</c:v>
                </c:pt>
                <c:pt idx="331">
                  <c:v>1819.9311589646959</c:v>
                </c:pt>
                <c:pt idx="332">
                  <c:v>1798.6443887126686</c:v>
                </c:pt>
                <c:pt idx="333">
                  <c:v>1777.6678832754053</c:v>
                </c:pt>
                <c:pt idx="334">
                  <c:v>1756.9962326489408</c:v>
                </c:pt>
                <c:pt idx="335">
                  <c:v>1736.6241365462222</c:v>
                </c:pt>
                <c:pt idx="336">
                  <c:v>1716.5464018619587</c:v>
                </c:pt>
                <c:pt idx="337">
                  <c:v>1696.7579402029637</c:v>
                </c:pt>
                <c:pt idx="338">
                  <c:v>1677.2537654828643</c:v>
                </c:pt>
                <c:pt idx="339">
                  <c:v>1658.0289915780399</c:v>
                </c:pt>
                <c:pt idx="340">
                  <c:v>1639.0788300443658</c:v>
                </c:pt>
                <c:pt idx="341">
                  <c:v>1620.3985878922349</c:v>
                </c:pt>
                <c:pt idx="342">
                  <c:v>1601.9836654182859</c:v>
                </c:pt>
                <c:pt idx="343">
                  <c:v>1583.8295540928787</c:v>
                </c:pt>
                <c:pt idx="344">
                  <c:v>1565.9318345005311</c:v>
                </c:pt>
                <c:pt idx="345">
                  <c:v>1548.2861743331052</c:v>
                </c:pt>
                <c:pt idx="346">
                  <c:v>1530.8883264332887</c:v>
                </c:pt>
                <c:pt idx="347">
                  <c:v>1513.7341268877642</c:v>
                </c:pt>
                <c:pt idx="348">
                  <c:v>1496.8194931679204</c:v>
                </c:pt>
                <c:pt idx="349">
                  <c:v>1480.1404223173167</c:v>
                </c:pt>
                <c:pt idx="350">
                  <c:v>1463.6929891843936</c:v>
                </c:pt>
                <c:pt idx="351">
                  <c:v>1447.4733446992188</c:v>
                </c:pt>
                <c:pt idx="352">
                  <c:v>1431.4777141930333</c:v>
                </c:pt>
                <c:pt idx="353">
                  <c:v>1415.7023957594399</c:v>
                </c:pt>
                <c:pt idx="354">
                  <c:v>1400.1437586560933</c:v>
                </c:pt>
                <c:pt idx="355">
                  <c:v>1384.7982417457501</c:v>
                </c:pt>
                <c:pt idx="356">
                  <c:v>1369.6623519756386</c:v>
                </c:pt>
                <c:pt idx="357">
                  <c:v>1354.7326628941084</c:v>
                </c:pt>
                <c:pt idx="358">
                  <c:v>1340.0058132035108</c:v>
                </c:pt>
                <c:pt idx="359">
                  <c:v>1325.4785053483638</c:v>
                </c:pt>
                <c:pt idx="360">
                  <c:v>1311.1475041378321</c:v>
                </c:pt>
                <c:pt idx="361">
                  <c:v>1297.0096354016036</c:v>
                </c:pt>
                <c:pt idx="362">
                  <c:v>1283.0617846782663</c:v>
                </c:pt>
                <c:pt idx="363">
                  <c:v>1269.3008959353058</c:v>
                </c:pt>
                <c:pt idx="364">
                  <c:v>1255.7239703198923</c:v>
                </c:pt>
                <c:pt idx="365">
                  <c:v>1242.3280649396306</c:v>
                </c:pt>
                <c:pt idx="366">
                  <c:v>1229.1102916724651</c:v>
                </c:pt>
                <c:pt idx="367">
                  <c:v>1216.0678160049911</c:v>
                </c:pt>
                <c:pt idx="368">
                  <c:v>1203.1978558984074</c:v>
                </c:pt>
                <c:pt idx="369">
                  <c:v>1190.4976806813615</c:v>
                </c:pt>
                <c:pt idx="370">
                  <c:v>1177.9646099690424</c:v>
                </c:pt>
                <c:pt idx="371">
                  <c:v>1165.5960126077425</c:v>
                </c:pt>
                <c:pt idx="372">
                  <c:v>1153.3893056443121</c:v>
                </c:pt>
                <c:pt idx="373">
                  <c:v>1141.3419533197944</c:v>
                </c:pt>
                <c:pt idx="374">
                  <c:v>1129.4514660866319</c:v>
                </c:pt>
                <c:pt idx="375">
                  <c:v>1117.7153996488535</c:v>
                </c:pt>
                <c:pt idx="376">
                  <c:v>1106.1313540246067</c:v>
                </c:pt>
                <c:pt idx="377">
                  <c:v>1094.6969726304862</c:v>
                </c:pt>
                <c:pt idx="378">
                  <c:v>1083.4099413871013</c:v>
                </c:pt>
                <c:pt idx="379">
                  <c:v>1072.2679878453082</c:v>
                </c:pt>
                <c:pt idx="380">
                  <c:v>1061.2688803326014</c:v>
                </c:pt>
                <c:pt idx="381">
                  <c:v>1050.410427119152</c:v>
                </c:pt>
                <c:pt idx="382">
                  <c:v>1039.6904756029728</c:v>
                </c:pt>
                <c:pt idx="383">
                  <c:v>1029.106911513732</c:v>
                </c:pt>
                <c:pt idx="384">
                  <c:v>1018.6576581347538</c:v>
                </c:pt>
                <c:pt idx="385">
                  <c:v>1008.3406755427279</c:v>
                </c:pt>
                <c:pt idx="386">
                  <c:v>998.15395986469684</c:v>
                </c:pt>
                <c:pt idx="387">
                  <c:v>988.0955425518647</c:v>
                </c:pt>
                <c:pt idx="388">
                  <c:v>978.16348966984333</c:v>
                </c:pt>
                <c:pt idx="389">
                  <c:v>968.35590120487359</c:v>
                </c:pt>
                <c:pt idx="390">
                  <c:v>958.67091038566446</c:v>
                </c:pt>
                <c:pt idx="391">
                  <c:v>949.10668302044201</c:v>
                </c:pt>
                <c:pt idx="392">
                  <c:v>939.66141684883019</c:v>
                </c:pt>
                <c:pt idx="393">
                  <c:v>930.33334090820654</c:v>
                </c:pt>
                <c:pt idx="394">
                  <c:v>921.12071491415463</c:v>
                </c:pt>
                <c:pt idx="395">
                  <c:v>912.02182865469263</c:v>
                </c:pt>
                <c:pt idx="396">
                  <c:v>903.03500139790378</c:v>
                </c:pt>
                <c:pt idx="397">
                  <c:v>894.15858131268601</c:v>
                </c:pt>
                <c:pt idx="398">
                  <c:v>885.39094490224841</c:v>
                </c:pt>
                <c:pt idx="399">
                  <c:v>876.73049645008643</c:v>
                </c:pt>
                <c:pt idx="400">
                  <c:v>868.17566747810031</c:v>
                </c:pt>
                <c:pt idx="401">
                  <c:v>859.72491621657628</c:v>
                </c:pt>
                <c:pt idx="402">
                  <c:v>851.37672708575428</c:v>
                </c:pt>
                <c:pt idx="403">
                  <c:v>843.12961018866542</c:v>
                </c:pt>
                <c:pt idx="404">
                  <c:v>834.98210081500963</c:v>
                </c:pt>
                <c:pt idx="405">
                  <c:v>826.93275895577938</c:v>
                </c:pt>
                <c:pt idx="406">
                  <c:v>818.98016882837567</c:v>
                </c:pt>
                <c:pt idx="407">
                  <c:v>811.1229384119797</c:v>
                </c:pt>
                <c:pt idx="408">
                  <c:v>803.3596989929149</c:v>
                </c:pt>
                <c:pt idx="409">
                  <c:v>795.68910471977688</c:v>
                </c:pt>
                <c:pt idx="410">
                  <c:v>788.10983216808597</c:v>
                </c:pt>
                <c:pt idx="411">
                  <c:v>780.62057991425013</c:v>
                </c:pt>
                <c:pt idx="412">
                  <c:v>773.22006811860081</c:v>
                </c:pt>
                <c:pt idx="413">
                  <c:v>765.90703811730953</c:v>
                </c:pt>
                <c:pt idx="414">
                  <c:v>758.68025202295155</c:v>
                </c:pt>
                <c:pt idx="415">
                  <c:v>751.53849233352616</c:v>
                </c:pt>
                <c:pt idx="416">
                  <c:v>744.48056154974438</c:v>
                </c:pt>
                <c:pt idx="417">
                  <c:v>737.50528180036576</c:v>
                </c:pt>
                <c:pt idx="418">
                  <c:v>730.61149447542425</c:v>
                </c:pt>
                <c:pt idx="419">
                  <c:v>723.79805986713063</c:v>
                </c:pt>
                <c:pt idx="420">
                  <c:v>717.06385681830398</c:v>
                </c:pt>
                <c:pt idx="421">
                  <c:v>710.4077823781289</c:v>
                </c:pt>
                <c:pt idx="422">
                  <c:v>703.82875146509127</c:v>
                </c:pt>
                <c:pt idx="423">
                  <c:v>697.32569653690928</c:v>
                </c:pt>
                <c:pt idx="424">
                  <c:v>690.89756726731287</c:v>
                </c:pt>
                <c:pt idx="425">
                  <c:v>684.54333022950698</c:v>
                </c:pt>
                <c:pt idx="426">
                  <c:v>678.2619685861589</c:v>
                </c:pt>
                <c:pt idx="427">
                  <c:v>672.05248178578393</c:v>
                </c:pt>
                <c:pt idx="428">
                  <c:v>665.91388526535309</c:v>
                </c:pt>
                <c:pt idx="429">
                  <c:v>659.84521015899793</c:v>
                </c:pt>
                <c:pt idx="430">
                  <c:v>653.84550301268052</c:v>
                </c:pt>
                <c:pt idx="431">
                  <c:v>647.91382550467461</c:v>
                </c:pt>
                <c:pt idx="432">
                  <c:v>642.04925417173831</c:v>
                </c:pt>
                <c:pt idx="433">
                  <c:v>636.25088014085554</c:v>
                </c:pt>
                <c:pt idx="434">
                  <c:v>630.51780886641302</c:v>
                </c:pt>
                <c:pt idx="435">
                  <c:v>624.84915987264333</c:v>
                </c:pt>
                <c:pt idx="436">
                  <c:v>619.24406650137439</c:v>
                </c:pt>
                <c:pt idx="437">
                  <c:v>613.70167566474072</c:v>
                </c:pt>
                <c:pt idx="438">
                  <c:v>608.22114760292186</c:v>
                </c:pt>
                <c:pt idx="439">
                  <c:v>602.80165564671688</c:v>
                </c:pt>
                <c:pt idx="440">
                  <c:v>597.44238598487584</c:v>
                </c:pt>
                <c:pt idx="441">
                  <c:v>592.142537436064</c:v>
                </c:pt>
                <c:pt idx="442">
                  <c:v>586.90132122536977</c:v>
                </c:pt>
                <c:pt idx="443">
                  <c:v>581.71796076525061</c:v>
                </c:pt>
                <c:pt idx="444">
                  <c:v>576.59169144082159</c:v>
                </c:pt>
                <c:pt idx="445">
                  <c:v>571.52176039938138</c:v>
                </c:pt>
                <c:pt idx="446">
                  <c:v>566.50742634410938</c:v>
                </c:pt>
                <c:pt idx="447">
                  <c:v>561.54795933180174</c:v>
                </c:pt>
                <c:pt idx="448">
                  <c:v>556.64264057459764</c:v>
                </c:pt>
                <c:pt idx="449">
                  <c:v>551.79076224558958</c:v>
                </c:pt>
                <c:pt idx="450">
                  <c:v>546.99162728822307</c:v>
                </c:pt>
                <c:pt idx="451">
                  <c:v>542.24454922943801</c:v>
                </c:pt>
                <c:pt idx="452">
                  <c:v>537.54885199642979</c:v>
                </c:pt>
                <c:pt idx="453">
                  <c:v>532.90386973698048</c:v>
                </c:pt>
                <c:pt idx="454">
                  <c:v>528.30894664327309</c:v>
                </c:pt>
                <c:pt idx="455">
                  <c:v>523.76343677911427</c:v>
                </c:pt>
                <c:pt idx="456">
                  <c:v>519.26670391049367</c:v>
                </c:pt>
                <c:pt idx="457">
                  <c:v>514.81812133940491</c:v>
                </c:pt>
                <c:pt idx="458">
                  <c:v>510.41707174086775</c:v>
                </c:pt>
                <c:pt idx="459">
                  <c:v>506.06294700306938</c:v>
                </c:pt>
                <c:pt idx="460">
                  <c:v>501.7551480705705</c:v>
                </c:pt>
                <c:pt idx="461">
                  <c:v>497.49308479050791</c:v>
                </c:pt>
                <c:pt idx="462">
                  <c:v>493.27617576172503</c:v>
                </c:pt>
                <c:pt idx="463">
                  <c:v>489.10384818677426</c:v>
                </c:pt>
                <c:pt idx="464">
                  <c:v>484.97553772673217</c:v>
                </c:pt>
                <c:pt idx="465">
                  <c:v>480.8906883587544</c:v>
                </c:pt>
                <c:pt idx="466">
                  <c:v>476.8487522363385</c:v>
                </c:pt>
                <c:pt idx="467">
                  <c:v>472.84918955221013</c:v>
                </c:pt>
                <c:pt idx="468">
                  <c:v>468.89146840379277</c:v>
                </c:pt>
                <c:pt idx="469">
                  <c:v>464.97506466121183</c:v>
                </c:pt>
                <c:pt idx="470">
                  <c:v>461.09946183776356</c:v>
                </c:pt>
                <c:pt idx="471">
                  <c:v>457.26415096281278</c:v>
                </c:pt>
                <c:pt idx="472">
                  <c:v>453.46863045706203</c:v>
                </c:pt>
                <c:pt idx="473">
                  <c:v>449.71240601014239</c:v>
                </c:pt>
                <c:pt idx="474">
                  <c:v>445.99499046048476</c:v>
                </c:pt>
                <c:pt idx="475">
                  <c:v>442.31590367741416</c:v>
                </c:pt>
                <c:pt idx="476">
                  <c:v>438.67467244543104</c:v>
                </c:pt>
                <c:pt idx="477">
                  <c:v>435.07083035063033</c:v>
                </c:pt>
                <c:pt idx="478">
                  <c:v>431.50391766920933</c:v>
                </c:pt>
                <c:pt idx="479">
                  <c:v>427.97348125803802</c:v>
                </c:pt>
                <c:pt idx="480">
                  <c:v>424.47907444722847</c:v>
                </c:pt>
                <c:pt idx="481">
                  <c:v>421.02025693467584</c:v>
                </c:pt>
                <c:pt idx="482">
                  <c:v>417.59659468253426</c:v>
                </c:pt>
                <c:pt idx="483">
                  <c:v>414.20765981557253</c:v>
                </c:pt>
                <c:pt idx="484">
                  <c:v>410.85303052138954</c:v>
                </c:pt>
                <c:pt idx="485">
                  <c:v>407.53229095243512</c:v>
                </c:pt>
                <c:pt idx="486">
                  <c:v>404.24503112982063</c:v>
                </c:pt>
                <c:pt idx="487">
                  <c:v>400.99084684885747</c:v>
                </c:pt>
                <c:pt idx="488">
                  <c:v>397.76933958631213</c:v>
                </c:pt>
                <c:pt idx="489">
                  <c:v>394.58011640932847</c:v>
                </c:pt>
                <c:pt idx="490">
                  <c:v>391.42278988599327</c:v>
                </c:pt>
                <c:pt idx="491">
                  <c:v>388.29697799750369</c:v>
                </c:pt>
                <c:pt idx="492">
                  <c:v>385.20230405190949</c:v>
                </c:pt>
                <c:pt idx="493">
                  <c:v>382.13839659940692</c:v>
                </c:pt>
                <c:pt idx="494">
                  <c:v>379.10488934912877</c:v>
                </c:pt>
                <c:pt idx="495">
                  <c:v>376.1014210874331</c:v>
                </c:pt>
                <c:pt idx="496">
                  <c:v>373.12763559763738</c:v>
                </c:pt>
                <c:pt idx="497">
                  <c:v>370.18318158117609</c:v>
                </c:pt>
                <c:pt idx="498">
                  <c:v>367.26771258015793</c:v>
                </c:pt>
                <c:pt idx="499">
                  <c:v>364.38088690129223</c:v>
                </c:pt>
                <c:pt idx="500">
                  <c:v>361.52236754115501</c:v>
                </c:pt>
                <c:pt idx="501">
                  <c:v>358.6918221127749</c:v>
                </c:pt>
                <c:pt idx="502">
                  <c:v>355.88892277350487</c:v>
                </c:pt>
                <c:pt idx="503">
                  <c:v>353.11334615416166</c:v>
                </c:pt>
                <c:pt idx="504">
                  <c:v>350.36477328940708</c:v>
                </c:pt>
                <c:pt idx="505">
                  <c:v>347.64288954934432</c:v>
                </c:pt>
                <c:pt idx="506">
                  <c:v>344.9473845723025</c:v>
                </c:pt>
                <c:pt idx="507">
                  <c:v>342.2779521988034</c:v>
                </c:pt>
                <c:pt idx="508">
                  <c:v>339.63429040666</c:v>
                </c:pt>
                <c:pt idx="509">
                  <c:v>337.0161012472139</c:v>
                </c:pt>
                <c:pt idx="510">
                  <c:v>334.42309078266413</c:v>
                </c:pt>
                <c:pt idx="511">
                  <c:v>331.85496902449034</c:v>
                </c:pt>
                <c:pt idx="512">
                  <c:v>329.31144987292896</c:v>
                </c:pt>
                <c:pt idx="513">
                  <c:v>326.79225105749202</c:v>
                </c:pt>
                <c:pt idx="514">
                  <c:v>324.29709407851078</c:v>
                </c:pt>
                <c:pt idx="515">
                  <c:v>321.8257041496795</c:v>
                </c:pt>
                <c:pt idx="516">
                  <c:v>319.37781014157991</c:v>
                </c:pt>
                <c:pt idx="517">
                  <c:v>316.95314452617487</c:v>
                </c:pt>
                <c:pt idx="518">
                  <c:v>314.55144332224324</c:v>
                </c:pt>
                <c:pt idx="519">
                  <c:v>312.17244604174465</c:v>
                </c:pt>
                <c:pt idx="520">
                  <c:v>309.81589563709838</c:v>
                </c:pt>
                <c:pt idx="521">
                  <c:v>307.48153844934814</c:v>
                </c:pt>
                <c:pt idx="522">
                  <c:v>305.16912415721362</c:v>
                </c:pt>
                <c:pt idx="523">
                  <c:v>302.87840572699076</c:v>
                </c:pt>
                <c:pt idx="524">
                  <c:v>300.6091393633065</c:v>
                </c:pt>
                <c:pt idx="525">
                  <c:v>298.36108446069551</c:v>
                </c:pt>
                <c:pt idx="526">
                  <c:v>296.13400355599452</c:v>
                </c:pt>
                <c:pt idx="527">
                  <c:v>293.92766228152806</c:v>
                </c:pt>
                <c:pt idx="528">
                  <c:v>291.74182931908871</c:v>
                </c:pt>
                <c:pt idx="529">
                  <c:v>289.57627635465883</c:v>
                </c:pt>
                <c:pt idx="530">
                  <c:v>287.43077803393345</c:v>
                </c:pt>
                <c:pt idx="531">
                  <c:v>285.30511191853657</c:v>
                </c:pt>
                <c:pt idx="532">
                  <c:v>283.19905844299109</c:v>
                </c:pt>
                <c:pt idx="533">
                  <c:v>281.11240087238889</c:v>
                </c:pt>
                <c:pt idx="534">
                  <c:v>279.04492526077115</c:v>
                </c:pt>
                <c:pt idx="535">
                  <c:v>276.99642041018922</c:v>
                </c:pt>
                <c:pt idx="536">
                  <c:v>274.96667783044359</c:v>
                </c:pt>
                <c:pt idx="537">
                  <c:v>272.95549169948106</c:v>
                </c:pt>
                <c:pt idx="538">
                  <c:v>270.96265882444919</c:v>
                </c:pt>
                <c:pt idx="539">
                  <c:v>268.98797860338027</c:v>
                </c:pt>
                <c:pt idx="540">
                  <c:v>267.03125298751149</c:v>
                </c:pt>
                <c:pt idx="541">
                  <c:v>265.09228644421268</c:v>
                </c:pt>
                <c:pt idx="542">
                  <c:v>263.17088592052363</c:v>
                </c:pt>
                <c:pt idx="543">
                  <c:v>261.26686080728274</c:v>
                </c:pt>
                <c:pt idx="544">
                  <c:v>259.38002290383594</c:v>
                </c:pt>
                <c:pt idx="545">
                  <c:v>257.51018638332459</c:v>
                </c:pt>
                <c:pt idx="546">
                  <c:v>255.65716775852829</c:v>
                </c:pt>
                <c:pt idx="547">
                  <c:v>253.82078584826246</c:v>
                </c:pt>
                <c:pt idx="548">
                  <c:v>252.00086174431866</c:v>
                </c:pt>
                <c:pt idx="549">
                  <c:v>250.19721877893488</c:v>
                </c:pt>
                <c:pt idx="550">
                  <c:v>248.40968249279183</c:v>
                </c:pt>
                <c:pt idx="551">
                  <c:v>246.63808060351857</c:v>
                </c:pt>
                <c:pt idx="552">
                  <c:v>244.88224297470512</c:v>
                </c:pt>
                <c:pt idx="553">
                  <c:v>243.14200158541061</c:v>
                </c:pt>
                <c:pt idx="554">
                  <c:v>241.41719050015644</c:v>
                </c:pt>
                <c:pt idx="555">
                  <c:v>239.70764583939771</c:v>
                </c:pt>
                <c:pt idx="556">
                  <c:v>238.01320575046626</c:v>
                </c:pt>
                <c:pt idx="557">
                  <c:v>236.33371037897018</c:v>
                </c:pt>
                <c:pt idx="558">
                  <c:v>234.66900184065301</c:v>
                </c:pt>
                <c:pt idx="559">
                  <c:v>233.01892419369082</c:v>
                </c:pt>
                <c:pt idx="560">
                  <c:v>231.38332341143371</c:v>
                </c:pt>
                <c:pt idx="561">
                  <c:v>229.76204735557104</c:v>
                </c:pt>
                <c:pt idx="562">
                  <c:v>228.15494574972305</c:v>
                </c:pt>
                <c:pt idx="563">
                  <c:v>226.56187015344349</c:v>
                </c:pt>
                <c:pt idx="564">
                  <c:v>224.98267393663431</c:v>
                </c:pt>
                <c:pt idx="565">
                  <c:v>223.4172122543556</c:v>
                </c:pt>
                <c:pt idx="566">
                  <c:v>221.86534202203549</c:v>
                </c:pt>
                <c:pt idx="567">
                  <c:v>220.32692189105981</c:v>
                </c:pt>
                <c:pt idx="568">
                  <c:v>218.80181222474567</c:v>
                </c:pt>
                <c:pt idx="569">
                  <c:v>217.28987507468932</c:v>
                </c:pt>
                <c:pt idx="570">
                  <c:v>215.79097415747881</c:v>
                </c:pt>
                <c:pt idx="571">
                  <c:v>214.30497483176728</c:v>
                </c:pt>
                <c:pt idx="572">
                  <c:v>212.83174407570331</c:v>
                </c:pt>
                <c:pt idx="573">
                  <c:v>211.37115046470643</c:v>
                </c:pt>
                <c:pt idx="574">
                  <c:v>209.92306414958679</c:v>
                </c:pt>
                <c:pt idx="575">
                  <c:v>208.48735683500274</c:v>
                </c:pt>
                <c:pt idx="576">
                  <c:v>207.06390175824603</c:v>
                </c:pt>
                <c:pt idx="577">
                  <c:v>205.65257366835485</c:v>
                </c:pt>
                <c:pt idx="578">
                  <c:v>204.25324880554649</c:v>
                </c:pt>
                <c:pt idx="579">
                  <c:v>202.86580488096149</c:v>
                </c:pt>
                <c:pt idx="580">
                  <c:v>201.4901210567206</c:v>
                </c:pt>
                <c:pt idx="581">
                  <c:v>200.12607792628233</c:v>
                </c:pt>
                <c:pt idx="582">
                  <c:v>198.77355749510221</c:v>
                </c:pt>
                <c:pt idx="583">
                  <c:v>197.43244316158132</c:v>
                </c:pt>
                <c:pt idx="584">
                  <c:v>196.10261969830773</c:v>
                </c:pt>
                <c:pt idx="585">
                  <c:v>194.783973233578</c:v>
                </c:pt>
                <c:pt idx="586">
                  <c:v>193.47639123320269</c:v>
                </c:pt>
                <c:pt idx="587">
                  <c:v>192.17976248257835</c:v>
                </c:pt>
                <c:pt idx="588">
                  <c:v>190.89397706903873</c:v>
                </c:pt>
                <c:pt idx="589">
                  <c:v>189.61892636446345</c:v>
                </c:pt>
                <c:pt idx="590">
                  <c:v>188.35450300815069</c:v>
                </c:pt>
                <c:pt idx="591">
                  <c:v>187.10060088994661</c:v>
                </c:pt>
                <c:pt idx="592">
                  <c:v>185.85711513362719</c:v>
                </c:pt>
                <c:pt idx="593">
                  <c:v>184.62394208052581</c:v>
                </c:pt>
                <c:pt idx="594">
                  <c:v>183.40097927340801</c:v>
                </c:pt>
                <c:pt idx="595">
                  <c:v>182.18812544058287</c:v>
                </c:pt>
                <c:pt idx="596">
                  <c:v>180.9852804802531</c:v>
                </c:pt>
                <c:pt idx="597">
                  <c:v>179.79234544509518</c:v>
                </c:pt>
                <c:pt idx="598">
                  <c:v>178.60922252707007</c:v>
                </c:pt>
                <c:pt idx="599">
                  <c:v>177.43581504245427</c:v>
                </c:pt>
                <c:pt idx="600">
                  <c:v>176.27202741709732</c:v>
                </c:pt>
                <c:pt idx="601">
                  <c:v>175.1177651718908</c:v>
                </c:pt>
                <c:pt idx="602">
                  <c:v>173.97293490845607</c:v>
                </c:pt>
                <c:pt idx="603">
                  <c:v>172.83744429503867</c:v>
                </c:pt>
                <c:pt idx="604">
                  <c:v>171.711202052609</c:v>
                </c:pt>
                <c:pt idx="605">
                  <c:v>170.59411794117082</c:v>
                </c:pt>
                <c:pt idx="606">
                  <c:v>169.48610274626566</c:v>
                </c:pt>
                <c:pt idx="607">
                  <c:v>168.38706826567454</c:v>
                </c:pt>
                <c:pt idx="608">
                  <c:v>167.29692729631572</c:v>
                </c:pt>
                <c:pt idx="609">
                  <c:v>166.21559362132945</c:v>
                </c:pt>
                <c:pt idx="610">
                  <c:v>165.1429819973543</c:v>
                </c:pt>
                <c:pt idx="611">
                  <c:v>164.07900814198402</c:v>
                </c:pt>
                <c:pt idx="612">
                  <c:v>163.02358872140834</c:v>
                </c:pt>
                <c:pt idx="613">
                  <c:v>161.97664133823196</c:v>
                </c:pt>
                <c:pt idx="614">
                  <c:v>160.93808451946722</c:v>
                </c:pt>
                <c:pt idx="615">
                  <c:v>159.90783770470324</c:v>
                </c:pt>
                <c:pt idx="616">
                  <c:v>158.88582123444235</c:v>
                </c:pt>
                <c:pt idx="617">
                  <c:v>157.87195633860347</c:v>
                </c:pt>
                <c:pt idx="618">
                  <c:v>156.8661651251943</c:v>
                </c:pt>
                <c:pt idx="619">
                  <c:v>155.86837056914027</c:v>
                </c:pt>
                <c:pt idx="620">
                  <c:v>154.87849650127882</c:v>
                </c:pt>
                <c:pt idx="621">
                  <c:v>153.89646759749806</c:v>
                </c:pt>
                <c:pt idx="622">
                  <c:v>152.92220936805808</c:v>
                </c:pt>
                <c:pt idx="623">
                  <c:v>151.95564814702877</c:v>
                </c:pt>
                <c:pt idx="624">
                  <c:v>150.99671108189483</c:v>
                </c:pt>
                <c:pt idx="625">
                  <c:v>150.04532612331946</c:v>
                </c:pt>
                <c:pt idx="626">
                  <c:v>149.10142201503194</c:v>
                </c:pt>
                <c:pt idx="627">
                  <c:v>148.16492828386902</c:v>
                </c:pt>
                <c:pt idx="628">
                  <c:v>147.23577522995652</c:v>
                </c:pt>
                <c:pt idx="629">
                  <c:v>146.31389391702467</c:v>
                </c:pt>
                <c:pt idx="630">
                  <c:v>145.39921616286605</c:v>
                </c:pt>
                <c:pt idx="631">
                  <c:v>144.49167452992191</c:v>
                </c:pt>
                <c:pt idx="632">
                  <c:v>143.59120231600306</c:v>
                </c:pt>
                <c:pt idx="633">
                  <c:v>142.6977335451403</c:v>
                </c:pt>
                <c:pt idx="634">
                  <c:v>141.81120295856329</c:v>
                </c:pt>
                <c:pt idx="635">
                  <c:v>140.93154600580351</c:v>
                </c:pt>
                <c:pt idx="636">
                  <c:v>140.05869883592311</c:v>
                </c:pt>
                <c:pt idx="637">
                  <c:v>139.19259828886459</c:v>
                </c:pt>
                <c:pt idx="638">
                  <c:v>138.33318188692084</c:v>
                </c:pt>
                <c:pt idx="639">
                  <c:v>137.48038782632418</c:v>
                </c:pt>
                <c:pt idx="640">
                  <c:v>136.63415496895109</c:v>
                </c:pt>
                <c:pt idx="641">
                  <c:v>135.7944228341413</c:v>
                </c:pt>
                <c:pt idx="642">
                  <c:v>134.96113159063134</c:v>
                </c:pt>
                <c:pt idx="643">
                  <c:v>134.13422204859722</c:v>
                </c:pt>
                <c:pt idx="644">
                  <c:v>133.31363565180817</c:v>
                </c:pt>
                <c:pt idx="645">
                  <c:v>132.49931446988768</c:v>
                </c:pt>
                <c:pt idx="646">
                  <c:v>131.69120119068057</c:v>
                </c:pt>
                <c:pt idx="647">
                  <c:v>130.88923911272565</c:v>
                </c:pt>
                <c:pt idx="648">
                  <c:v>130.09337213782857</c:v>
                </c:pt>
                <c:pt idx="649">
                  <c:v>129.30354476373995</c:v>
                </c:pt>
                <c:pt idx="650">
                  <c:v>128.51970207693014</c:v>
                </c:pt>
                <c:pt idx="651">
                  <c:v>127.74178974546435</c:v>
                </c:pt>
                <c:pt idx="652">
                  <c:v>126.96975401197307</c:v>
                </c:pt>
                <c:pt idx="653">
                  <c:v>126.20354168671962</c:v>
                </c:pt>
                <c:pt idx="654">
                  <c:v>125.44310014076106</c:v>
                </c:pt>
                <c:pt idx="655">
                  <c:v>124.6883772991995</c:v>
                </c:pt>
                <c:pt idx="656">
                  <c:v>123.93932163452857</c:v>
                </c:pt>
                <c:pt idx="657">
                  <c:v>123.19588216006746</c:v>
                </c:pt>
                <c:pt idx="658">
                  <c:v>122.45800842348137</c:v>
                </c:pt>
                <c:pt idx="659">
                  <c:v>121.72565050039486</c:v>
                </c:pt>
                <c:pt idx="660">
                  <c:v>120.99875898808378</c:v>
                </c:pt>
                <c:pt idx="661">
                  <c:v>120.27728499925827</c:v>
                </c:pt>
                <c:pt idx="662">
                  <c:v>119.5611801559251</c:v>
                </c:pt>
                <c:pt idx="663">
                  <c:v>118.85039658333314</c:v>
                </c:pt>
                <c:pt idx="664">
                  <c:v>118.14488690400037</c:v>
                </c:pt>
                <c:pt idx="665">
                  <c:v>117.4446042318195</c:v>
                </c:pt>
                <c:pt idx="666">
                  <c:v>116.749502166242</c:v>
                </c:pt>
                <c:pt idx="667">
                  <c:v>116.05953478654158</c:v>
                </c:pt>
                <c:pt idx="668">
                  <c:v>115.3746566461506</c:v>
                </c:pt>
                <c:pt idx="669">
                  <c:v>114.6948227670735</c:v>
                </c:pt>
                <c:pt idx="670">
                  <c:v>114.01998863437473</c:v>
                </c:pt>
                <c:pt idx="671">
                  <c:v>113.35011019073757</c:v>
                </c:pt>
                <c:pt idx="672">
                  <c:v>112.68514383109607</c:v>
                </c:pt>
                <c:pt idx="673">
                  <c:v>112.02504639733772</c:v>
                </c:pt>
                <c:pt idx="674">
                  <c:v>111.36977517307542</c:v>
                </c:pt>
                <c:pt idx="675">
                  <c:v>110.71928787848864</c:v>
                </c:pt>
                <c:pt idx="676">
                  <c:v>110.0735426652306</c:v>
                </c:pt>
                <c:pt idx="677">
                  <c:v>109.43249811140545</c:v>
                </c:pt>
                <c:pt idx="678">
                  <c:v>108.79611321660767</c:v>
                </c:pt>
                <c:pt idx="679">
                  <c:v>108.16434739702896</c:v>
                </c:pt>
                <c:pt idx="680">
                  <c:v>107.53716048062583</c:v>
                </c:pt>
                <c:pt idx="681">
                  <c:v>106.91451270235471</c:v>
                </c:pt>
                <c:pt idx="682">
                  <c:v>106.29636469946432</c:v>
                </c:pt>
                <c:pt idx="683">
                  <c:v>105.68267750685222</c:v>
                </c:pt>
                <c:pt idx="684">
                  <c:v>105.07341255248082</c:v>
                </c:pt>
                <c:pt idx="685">
                  <c:v>104.46853165285141</c:v>
                </c:pt>
                <c:pt idx="686">
                  <c:v>103.86799700853928</c:v>
                </c:pt>
                <c:pt idx="687">
                  <c:v>103.2717711997845</c:v>
                </c:pt>
                <c:pt idx="688">
                  <c:v>102.67981718213922</c:v>
                </c:pt>
                <c:pt idx="689">
                  <c:v>102.09209828217381</c:v>
                </c:pt>
                <c:pt idx="690">
                  <c:v>101.50857819323475</c:v>
                </c:pt>
                <c:pt idx="691">
                  <c:v>100.92922097125943</c:v>
                </c:pt>
                <c:pt idx="692">
                  <c:v>100.35399103064294</c:v>
                </c:pt>
                <c:pt idx="693">
                  <c:v>99.782853140159887</c:v>
                </c:pt>
                <c:pt idx="694">
                  <c:v>99.215772418935501</c:v>
                </c:pt>
                <c:pt idx="695">
                  <c:v>98.652714332471106</c:v>
                </c:pt>
                <c:pt idx="696">
                  <c:v>98.093644688717305</c:v>
                </c:pt>
                <c:pt idx="697">
                  <c:v>97.538529634200671</c:v>
                </c:pt>
                <c:pt idx="698">
                  <c:v>96.987335650196187</c:v>
                </c:pt>
                <c:pt idx="699">
                  <c:v>96.440029548950235</c:v>
                </c:pt>
                <c:pt idx="700">
                  <c:v>95.896578469951663</c:v>
                </c:pt>
                <c:pt idx="701">
                  <c:v>95.356949876248208</c:v>
                </c:pt>
                <c:pt idx="702">
                  <c:v>94.82111155081212</c:v>
                </c:pt>
                <c:pt idx="703">
                  <c:v>94.289031592948874</c:v>
                </c:pt>
                <c:pt idx="704">
                  <c:v>93.760678414753912</c:v>
                </c:pt>
                <c:pt idx="705">
                  <c:v>93.236020737611099</c:v>
                </c:pt>
                <c:pt idx="706">
                  <c:v>92.715027588738408</c:v>
                </c:pt>
                <c:pt idx="707">
                  <c:v>92.197668297773973</c:v>
                </c:pt>
                <c:pt idx="708">
                  <c:v>91.683912493406453</c:v>
                </c:pt>
                <c:pt idx="709">
                  <c:v>91.173730100048118</c:v>
                </c:pt>
                <c:pt idx="710">
                  <c:v>90.667091334547322</c:v>
                </c:pt>
                <c:pt idx="711">
                  <c:v>90.16396670294472</c:v>
                </c:pt>
                <c:pt idx="712">
                  <c:v>89.664326997268716</c:v>
                </c:pt>
                <c:pt idx="713">
                  <c:v>89.168143292369408</c:v>
                </c:pt>
                <c:pt idx="714">
                  <c:v>88.675386942794844</c:v>
                </c:pt>
                <c:pt idx="715">
                  <c:v>88.186029579703231</c:v>
                </c:pt>
                <c:pt idx="716">
                  <c:v>87.700043107815802</c:v>
                </c:pt>
                <c:pt idx="717">
                  <c:v>87.217399702403242</c:v>
                </c:pt>
                <c:pt idx="718">
                  <c:v>86.738071806317095</c:v>
                </c:pt>
                <c:pt idx="719">
                  <c:v>86.262032127050048</c:v>
                </c:pt>
                <c:pt idx="720">
                  <c:v>85.789253633835386</c:v>
                </c:pt>
                <c:pt idx="721">
                  <c:v>85.319709554783529</c:v>
                </c:pt>
                <c:pt idx="722">
                  <c:v>84.853373374051586</c:v>
                </c:pt>
                <c:pt idx="723">
                  <c:v>84.390218829049672</c:v>
                </c:pt>
                <c:pt idx="724">
                  <c:v>83.930219907678975</c:v>
                </c:pt>
                <c:pt idx="725">
                  <c:v>83.473350845606163</c:v>
                </c:pt>
                <c:pt idx="726">
                  <c:v>83.019586123569724</c:v>
                </c:pt>
                <c:pt idx="727">
                  <c:v>82.568900464719448</c:v>
                </c:pt>
                <c:pt idx="728">
                  <c:v>82.121268831988246</c:v>
                </c:pt>
                <c:pt idx="729">
                  <c:v>81.676666425497103</c:v>
                </c:pt>
                <c:pt idx="730">
                  <c:v>81.235068679988998</c:v>
                </c:pt>
                <c:pt idx="731">
                  <c:v>80.796451262297737</c:v>
                </c:pt>
                <c:pt idx="732">
                  <c:v>80.360790068843031</c:v>
                </c:pt>
                <c:pt idx="733">
                  <c:v>79.928061223160555</c:v>
                </c:pt>
                <c:pt idx="734">
                  <c:v>79.498241073457621</c:v>
                </c:pt>
                <c:pt idx="735">
                  <c:v>79.071306190202492</c:v>
                </c:pt>
                <c:pt idx="736">
                  <c:v>78.647233363738508</c:v>
                </c:pt>
                <c:pt idx="737">
                  <c:v>78.225999601930283</c:v>
                </c:pt>
                <c:pt idx="738">
                  <c:v>77.807582127837335</c:v>
                </c:pt>
                <c:pt idx="739">
                  <c:v>77.391958377415051</c:v>
                </c:pt>
                <c:pt idx="740">
                  <c:v>76.979105997242286</c:v>
                </c:pt>
                <c:pt idx="741">
                  <c:v>76.569002842280298</c:v>
                </c:pt>
                <c:pt idx="742">
                  <c:v>76.161626973652972</c:v>
                </c:pt>
                <c:pt idx="743">
                  <c:v>75.756956656457845</c:v>
                </c:pt>
                <c:pt idx="744">
                  <c:v>75.354970357601616</c:v>
                </c:pt>
                <c:pt idx="745">
                  <c:v>74.955646743660566</c:v>
                </c:pt>
                <c:pt idx="746">
                  <c:v>74.558964678768916</c:v>
                </c:pt>
                <c:pt idx="747">
                  <c:v>74.164903222529531</c:v>
                </c:pt>
                <c:pt idx="748">
                  <c:v>73.773441627951556</c:v>
                </c:pt>
                <c:pt idx="749">
                  <c:v>73.384559339411382</c:v>
                </c:pt>
                <c:pt idx="750">
                  <c:v>72.99823599063771</c:v>
                </c:pt>
                <c:pt idx="751">
                  <c:v>72.614451402721855</c:v>
                </c:pt>
                <c:pt idx="752">
                  <c:v>72.233185582149446</c:v>
                </c:pt>
                <c:pt idx="753">
                  <c:v>71.854418718856422</c:v>
                </c:pt>
                <c:pt idx="754">
                  <c:v>71.47813118430885</c:v>
                </c:pt>
                <c:pt idx="755">
                  <c:v>71.104303529603342</c:v>
                </c:pt>
                <c:pt idx="756">
                  <c:v>70.732916483591382</c:v>
                </c:pt>
                <c:pt idx="757">
                  <c:v>70.363950951025146</c:v>
                </c:pt>
                <c:pt idx="758">
                  <c:v>69.997388010724578</c:v>
                </c:pt>
                <c:pt idx="759">
                  <c:v>69.633208913767177</c:v>
                </c:pt>
                <c:pt idx="760">
                  <c:v>69.271395081696653</c:v>
                </c:pt>
                <c:pt idx="761">
                  <c:v>68.911928104756157</c:v>
                </c:pt>
                <c:pt idx="762">
                  <c:v>68.554789740137792</c:v>
                </c:pt>
                <c:pt idx="763">
                  <c:v>68.199961910256008</c:v>
                </c:pt>
                <c:pt idx="764">
                  <c:v>67.847426701039126</c:v>
                </c:pt>
                <c:pt idx="765">
                  <c:v>67.497166360241238</c:v>
                </c:pt>
                <c:pt idx="766">
                  <c:v>67.14916329577413</c:v>
                </c:pt>
                <c:pt idx="767">
                  <c:v>66.80340007405789</c:v>
                </c:pt>
                <c:pt idx="768">
                  <c:v>66.459859418390536</c:v>
                </c:pt>
                <c:pt idx="769">
                  <c:v>66.11852420733797</c:v>
                </c:pt>
                <c:pt idx="770">
                  <c:v>65.779377473139192</c:v>
                </c:pt>
                <c:pt idx="771">
                  <c:v>65.442402400134341</c:v>
                </c:pt>
                <c:pt idx="772">
                  <c:v>65.107582323207225</c:v>
                </c:pt>
                <c:pt idx="773">
                  <c:v>64.774900726246671</c:v>
                </c:pt>
                <c:pt idx="774">
                  <c:v>64.444341240627296</c:v>
                </c:pt>
                <c:pt idx="775">
                  <c:v>64.115887643705221</c:v>
                </c:pt>
                <c:pt idx="776">
                  <c:v>63.789523857332505</c:v>
                </c:pt>
                <c:pt idx="777">
                  <c:v>63.465233946387876</c:v>
                </c:pt>
                <c:pt idx="778">
                  <c:v>63.143002117324983</c:v>
                </c:pt>
                <c:pt idx="779">
                  <c:v>62.822812716736202</c:v>
                </c:pt>
                <c:pt idx="780">
                  <c:v>62.504650229934306</c:v>
                </c:pt>
                <c:pt idx="781">
                  <c:v>62.188499279547919</c:v>
                </c:pt>
                <c:pt idx="782">
                  <c:v>61.874344624135801</c:v>
                </c:pt>
                <c:pt idx="783">
                  <c:v>61.562171156814287</c:v>
                </c:pt>
                <c:pt idx="784">
                  <c:v>61.251963903902073</c:v>
                </c:pt>
                <c:pt idx="785">
                  <c:v>60.943708023579383</c:v>
                </c:pt>
                <c:pt idx="786">
                  <c:v>60.637388804562534</c:v>
                </c:pt>
                <c:pt idx="787">
                  <c:v>60.332991664793916</c:v>
                </c:pt>
                <c:pt idx="788">
                  <c:v>60.030502150145651</c:v>
                </c:pt>
                <c:pt idx="789">
                  <c:v>59.729905933139683</c:v>
                </c:pt>
                <c:pt idx="790">
                  <c:v>59.431188811680073</c:v>
                </c:pt>
                <c:pt idx="791">
                  <c:v>59.134336707800529</c:v>
                </c:pt>
                <c:pt idx="792">
                  <c:v>58.839335666427417</c:v>
                </c:pt>
                <c:pt idx="793">
                  <c:v>58.546171854153691</c:v>
                </c:pt>
                <c:pt idx="794">
                  <c:v>58.254831558029224</c:v>
                </c:pt>
                <c:pt idx="795">
                  <c:v>57.965301184363582</c:v>
                </c:pt>
                <c:pt idx="796">
                  <c:v>57.677567257541085</c:v>
                </c:pt>
                <c:pt idx="797">
                  <c:v>57.391616418851321</c:v>
                </c:pt>
                <c:pt idx="798">
                  <c:v>57.107435425331317</c:v>
                </c:pt>
                <c:pt idx="799">
                  <c:v>56.825011148620483</c:v>
                </c:pt>
                <c:pt idx="800">
                  <c:v>56.544330573828802</c:v>
                </c:pt>
                <c:pt idx="801">
                  <c:v>56.265380798417212</c:v>
                </c:pt>
                <c:pt idx="802">
                  <c:v>55.988149031091339</c:v>
                </c:pt>
                <c:pt idx="803">
                  <c:v>55.71262259070528</c:v>
                </c:pt>
                <c:pt idx="804">
                  <c:v>55.438788905180523</c:v>
                </c:pt>
                <c:pt idx="805">
                  <c:v>55.166635510434126</c:v>
                </c:pt>
                <c:pt idx="806">
                  <c:v>54.896150049320198</c:v>
                </c:pt>
                <c:pt idx="807">
                  <c:v>54.627320270582928</c:v>
                </c:pt>
                <c:pt idx="808">
                  <c:v>54.360134027821026</c:v>
                </c:pt>
                <c:pt idx="809">
                  <c:v>54.094579278461211</c:v>
                </c:pt>
                <c:pt idx="810">
                  <c:v>53.830644082748357</c:v>
                </c:pt>
                <c:pt idx="811">
                  <c:v>53.568316602742982</c:v>
                </c:pt>
                <c:pt idx="812">
                  <c:v>53.307585101326715</c:v>
                </c:pt>
                <c:pt idx="813">
                  <c:v>53.048437941226993</c:v>
                </c:pt>
                <c:pt idx="814">
                  <c:v>52.790863584044011</c:v>
                </c:pt>
                <c:pt idx="815">
                  <c:v>52.534850589293981</c:v>
                </c:pt>
                <c:pt idx="816">
                  <c:v>52.280387613459574</c:v>
                </c:pt>
                <c:pt idx="817">
                  <c:v>52.027463409051762</c:v>
                </c:pt>
                <c:pt idx="818">
                  <c:v>51.776066823682861</c:v>
                </c:pt>
                <c:pt idx="819">
                  <c:v>51.52618679914751</c:v>
                </c:pt>
                <c:pt idx="820">
                  <c:v>51.277812370515832</c:v>
                </c:pt>
                <c:pt idx="821">
                  <c:v>51.030932665234708</c:v>
                </c:pt>
                <c:pt idx="822">
                  <c:v>50.785536902239336</c:v>
                </c:pt>
                <c:pt idx="823">
                  <c:v>50.54161439107552</c:v>
                </c:pt>
                <c:pt idx="824">
                  <c:v>50.299154531028591</c:v>
                </c:pt>
                <c:pt idx="825">
                  <c:v>50.058146810265868</c:v>
                </c:pt>
                <c:pt idx="826">
                  <c:v>49.81858080498349</c:v>
                </c:pt>
                <c:pt idx="827">
                  <c:v>49.58044617856725</c:v>
                </c:pt>
                <c:pt idx="828">
                  <c:v>49.343732680758627</c:v>
                </c:pt>
                <c:pt idx="829">
                  <c:v>49.108430146831758</c:v>
                </c:pt>
                <c:pt idx="830">
                  <c:v>48.874528496778886</c:v>
                </c:pt>
                <c:pt idx="831">
                  <c:v>48.642017734503987</c:v>
                </c:pt>
                <c:pt idx="832">
                  <c:v>48.410887947026154</c:v>
                </c:pt>
                <c:pt idx="833">
                  <c:v>48.181129303689815</c:v>
                </c:pt>
                <c:pt idx="834">
                  <c:v>47.952732055385162</c:v>
                </c:pt>
                <c:pt idx="835">
                  <c:v>47.72568653377526</c:v>
                </c:pt>
                <c:pt idx="836">
                  <c:v>47.499983150532692</c:v>
                </c:pt>
                <c:pt idx="837">
                  <c:v>47.275612396583774</c:v>
                </c:pt>
                <c:pt idx="838">
                  <c:v>47.05256484136055</c:v>
                </c:pt>
                <c:pt idx="839">
                  <c:v>46.830831132061107</c:v>
                </c:pt>
                <c:pt idx="840">
                  <c:v>46.610401992917026</c:v>
                </c:pt>
                <c:pt idx="841">
                  <c:v>46.391268224470437</c:v>
                </c:pt>
                <c:pt idx="842">
                  <c:v>46.173420702855879</c:v>
                </c:pt>
                <c:pt idx="843">
                  <c:v>45.956850379092614</c:v>
                </c:pt>
                <c:pt idx="844">
                  <c:v>45.741548278381664</c:v>
                </c:pt>
                <c:pt idx="845">
                  <c:v>45.527505499412854</c:v>
                </c:pt>
                <c:pt idx="846">
                  <c:v>45.314713213677457</c:v>
                </c:pt>
                <c:pt idx="847">
                  <c:v>45.103162664788584</c:v>
                </c:pt>
                <c:pt idx="848">
                  <c:v>44.892845167808005</c:v>
                </c:pt>
                <c:pt idx="849">
                  <c:v>44.683752108581764</c:v>
                </c:pt>
                <c:pt idx="850">
                  <c:v>44.475874943080932</c:v>
                </c:pt>
                <c:pt idx="851">
                  <c:v>44.26920519675015</c:v>
                </c:pt>
                <c:pt idx="852">
                  <c:v>44.063734463862922</c:v>
                </c:pt>
                <c:pt idx="853">
                  <c:v>43.859454406882833</c:v>
                </c:pt>
                <c:pt idx="854">
                  <c:v>43.656356755833144</c:v>
                </c:pt>
                <c:pt idx="855">
                  <c:v>43.454433307671287</c:v>
                </c:pt>
                <c:pt idx="856">
                  <c:v>43.253675925669953</c:v>
                </c:pt>
                <c:pt idx="857">
                  <c:v>43.054076538806626</c:v>
                </c:pt>
                <c:pt idx="858">
                  <c:v>42.855627141155921</c:v>
                </c:pt>
                <c:pt idx="859">
                  <c:v>42.65831979129225</c:v>
                </c:pt>
                <c:pt idx="860">
                  <c:v>42.462146611695218</c:v>
                </c:pt>
                <c:pt idx="861">
                  <c:v>42.267099788163044</c:v>
                </c:pt>
                <c:pt idx="862">
                  <c:v>42.073171569231917</c:v>
                </c:pt>
                <c:pt idx="863">
                  <c:v>41.880354265600353</c:v>
                </c:pt>
                <c:pt idx="864">
                  <c:v>41.688640249560791</c:v>
                </c:pt>
                <c:pt idx="865">
                  <c:v>41.498021954435906</c:v>
                </c:pt>
                <c:pt idx="866">
                  <c:v>41.308491874021435</c:v>
                </c:pt>
                <c:pt idx="867">
                  <c:v>41.120042562034754</c:v>
                </c:pt>
                <c:pt idx="868">
                  <c:v>40.932666631567777</c:v>
                </c:pt>
                <c:pt idx="869">
                  <c:v>40.746356754547804</c:v>
                </c:pt>
                <c:pt idx="870">
                  <c:v>40.561105661201722</c:v>
                </c:pt>
                <c:pt idx="871">
                  <c:v>40.376906139527016</c:v>
                </c:pt>
                <c:pt idx="872">
                  <c:v>40.193751034767466</c:v>
                </c:pt>
                <c:pt idx="873">
                  <c:v>40.011633248894384</c:v>
                </c:pt>
                <c:pt idx="874">
                  <c:v>39.830545740093548</c:v>
                </c:pt>
                <c:pt idx="875">
                  <c:v>39.650481522256399</c:v>
                </c:pt>
                <c:pt idx="876">
                  <c:v>39.471433664477495</c:v>
                </c:pt>
                <c:pt idx="877">
                  <c:v>39.293395290556653</c:v>
                </c:pt>
                <c:pt idx="878">
                  <c:v>39.116359578505303</c:v>
                </c:pt>
                <c:pt idx="879">
                  <c:v>38.940319760059381</c:v>
                </c:pt>
                <c:pt idx="880">
                  <c:v>38.76526912019596</c:v>
                </c:pt>
                <c:pt idx="881">
                  <c:v>38.59120099665536</c:v>
                </c:pt>
                <c:pt idx="882">
                  <c:v>38.418108779467836</c:v>
                </c:pt>
                <c:pt idx="883">
                  <c:v>38.245985910484606</c:v>
                </c:pt>
                <c:pt idx="884">
                  <c:v>38.07482588291478</c:v>
                </c:pt>
                <c:pt idx="885">
                  <c:v>37.904622240865955</c:v>
                </c:pt>
                <c:pt idx="886">
                  <c:v>37.735368578889791</c:v>
                </c:pt>
                <c:pt idx="887">
                  <c:v>37.567058541531672</c:v>
                </c:pt>
                <c:pt idx="888">
                  <c:v>37.399685822885608</c:v>
                </c:pt>
                <c:pt idx="889">
                  <c:v>37.23324416615344</c:v>
                </c:pt>
                <c:pt idx="890">
                  <c:v>37.067727363207936</c:v>
                </c:pt>
                <c:pt idx="891">
                  <c:v>36.903129254160618</c:v>
                </c:pt>
                <c:pt idx="892">
                  <c:v>36.739443726934262</c:v>
                </c:pt>
                <c:pt idx="893">
                  <c:v>36.576664716838458</c:v>
                </c:pt>
                <c:pt idx="894">
                  <c:v>36.414786206151184</c:v>
                </c:pt>
                <c:pt idx="895">
                  <c:v>36.253802223702984</c:v>
                </c:pt>
                <c:pt idx="896">
                  <c:v>36.093706844465657</c:v>
                </c:pt>
                <c:pt idx="897">
                  <c:v>35.934494189145951</c:v>
                </c:pt>
                <c:pt idx="898">
                  <c:v>35.776158423782022</c:v>
                </c:pt>
                <c:pt idx="899">
                  <c:v>35.618693759344382</c:v>
                </c:pt>
                <c:pt idx="900">
                  <c:v>35.462094451341258</c:v>
                </c:pt>
                <c:pt idx="901">
                  <c:v>35.306354799427083</c:v>
                </c:pt>
                <c:pt idx="902">
                  <c:v>35.151469147015462</c:v>
                </c:pt>
                <c:pt idx="903">
                  <c:v>34.997431880895661</c:v>
                </c:pt>
                <c:pt idx="904">
                  <c:v>34.84423743085177</c:v>
                </c:pt>
                <c:pt idx="905">
                  <c:v>34.691880269288937</c:v>
                </c:pt>
                <c:pt idx="906">
                  <c:v>34.540354910859641</c:v>
                </c:pt>
                <c:pt idx="907">
                  <c:v>34.38965591209503</c:v>
                </c:pt>
                <c:pt idx="908">
                  <c:v>34.239777871040651</c:v>
                </c:pt>
                <c:pt idx="909">
                  <c:v>34.090715426894235</c:v>
                </c:pt>
                <c:pt idx="910">
                  <c:v>33.942463259648228</c:v>
                </c:pt>
                <c:pt idx="911">
                  <c:v>33.795016089735711</c:v>
                </c:pt>
                <c:pt idx="912">
                  <c:v>33.648368677678654</c:v>
                </c:pt>
                <c:pt idx="913">
                  <c:v>33.502515823741113</c:v>
                </c:pt>
                <c:pt idx="914">
                  <c:v>33.357452367584763</c:v>
                </c:pt>
                <c:pt idx="915">
                  <c:v>33.213173187928078</c:v>
                </c:pt>
                <c:pt idx="916">
                  <c:v>33.069673202209195</c:v>
                </c:pt>
                <c:pt idx="917">
                  <c:v>32.926947366251461</c:v>
                </c:pt>
                <c:pt idx="918">
                  <c:v>32.784990673932406</c:v>
                </c:pt>
                <c:pt idx="919">
                  <c:v>32.643798156856242</c:v>
                </c:pt>
                <c:pt idx="920">
                  <c:v>32.503364884029246</c:v>
                </c:pt>
                <c:pt idx="921">
                  <c:v>32.363685961537939</c:v>
                </c:pt>
                <c:pt idx="922">
                  <c:v>32.224756532231474</c:v>
                </c:pt>
                <c:pt idx="923">
                  <c:v>32.086571775405723</c:v>
                </c:pt>
                <c:pt idx="924">
                  <c:v>31.949126906491426</c:v>
                </c:pt>
                <c:pt idx="925">
                  <c:v>31.812417176745026</c:v>
                </c:pt>
                <c:pt idx="926">
                  <c:v>31.676437872942085</c:v>
                </c:pt>
                <c:pt idx="927">
                  <c:v>31.541184317074045</c:v>
                </c:pt>
                <c:pt idx="928">
                  <c:v>31.406651866048211</c:v>
                </c:pt>
                <c:pt idx="929">
                  <c:v>31.272835911390096</c:v>
                </c:pt>
                <c:pt idx="930">
                  <c:v>31.139731878948425</c:v>
                </c:pt>
                <c:pt idx="931">
                  <c:v>31.007335228603587</c:v>
                </c:pt>
                <c:pt idx="932">
                  <c:v>30.875641453978645</c:v>
                </c:pt>
                <c:pt idx="933">
                  <c:v>30.744646082152872</c:v>
                </c:pt>
                <c:pt idx="934">
                  <c:v>30.614344673378401</c:v>
                </c:pt>
                <c:pt idx="935">
                  <c:v>30.484732820798957</c:v>
                </c:pt>
                <c:pt idx="936">
                  <c:v>30.355806150172032</c:v>
                </c:pt>
                <c:pt idx="937">
                  <c:v>30.227560319593191</c:v>
                </c:pt>
                <c:pt idx="938">
                  <c:v>30.099991019223449</c:v>
                </c:pt>
                <c:pt idx="939">
                  <c:v>29.973093971018347</c:v>
                </c:pt>
                <c:pt idx="940">
                  <c:v>29.846864928460679</c:v>
                </c:pt>
                <c:pt idx="941">
                  <c:v>29.72129967629477</c:v>
                </c:pt>
                <c:pt idx="942">
                  <c:v>29.596394030264477</c:v>
                </c:pt>
                <c:pt idx="943">
                  <c:v>29.472143836852045</c:v>
                </c:pt>
                <c:pt idx="944">
                  <c:v>29.348544973021145</c:v>
                </c:pt>
                <c:pt idx="945">
                  <c:v>29.225593345960668</c:v>
                </c:pt>
                <c:pt idx="946">
                  <c:v>29.103284892832644</c:v>
                </c:pt>
                <c:pt idx="947">
                  <c:v>28.981615580520813</c:v>
                </c:pt>
                <c:pt idx="948">
                  <c:v>28.86058140538298</c:v>
                </c:pt>
                <c:pt idx="949">
                  <c:v>28.740178393004985</c:v>
                </c:pt>
                <c:pt idx="950">
                  <c:v>28.620402597956922</c:v>
                </c:pt>
                <c:pt idx="951">
                  <c:v>28.501250103551801</c:v>
                </c:pt>
                <c:pt idx="952">
                  <c:v>28.382717021607039</c:v>
                </c:pt>
                <c:pt idx="953">
                  <c:v>28.26479949220677</c:v>
                </c:pt>
                <c:pt idx="954">
                  <c:v>28.147493683467946</c:v>
                </c:pt>
                <c:pt idx="955">
                  <c:v>28.0307957913076</c:v>
                </c:pt>
                <c:pt idx="956">
                  <c:v>27.91470203921261</c:v>
                </c:pt>
                <c:pt idx="957">
                  <c:v>27.799208678011585</c:v>
                </c:pt>
                <c:pt idx="958">
                  <c:v>27.68431198564916</c:v>
                </c:pt>
                <c:pt idx="959">
                  <c:v>27.570008266961569</c:v>
                </c:pt>
                <c:pt idx="960">
                  <c:v>27.456293853455222</c:v>
                </c:pt>
                <c:pt idx="961">
                  <c:v>27.343165103086609</c:v>
                </c:pt>
                <c:pt idx="962">
                  <c:v>27.230618400045252</c:v>
                </c:pt>
                <c:pt idx="963">
                  <c:v>27.118650154537033</c:v>
                </c:pt>
                <c:pt idx="964">
                  <c:v>27.00725680257128</c:v>
                </c:pt>
                <c:pt idx="965">
                  <c:v>26.896434805748733</c:v>
                </c:pt>
                <c:pt idx="966">
                  <c:v>26.786180651051559</c:v>
                </c:pt>
                <c:pt idx="967">
                  <c:v>26.676490850635759</c:v>
                </c:pt>
                <c:pt idx="968">
                  <c:v>26.567361941625272</c:v>
                </c:pt>
                <c:pt idx="969">
                  <c:v>26.45879048590745</c:v>
                </c:pt>
                <c:pt idx="970">
                  <c:v>26.35077306993146</c:v>
                </c:pt>
                <c:pt idx="971">
                  <c:v>26.243306304507751</c:v>
                </c:pt>
                <c:pt idx="972">
                  <c:v>26.136386824609378</c:v>
                </c:pt>
                <c:pt idx="973">
                  <c:v>26.030011289175718</c:v>
                </c:pt>
                <c:pt idx="974">
                  <c:v>25.924176380916851</c:v>
                </c:pt>
                <c:pt idx="975">
                  <c:v>25.81887880612171</c:v>
                </c:pt>
                <c:pt idx="976">
                  <c:v>25.71411529446533</c:v>
                </c:pt>
                <c:pt idx="977">
                  <c:v>25.609882598820473</c:v>
                </c:pt>
                <c:pt idx="978">
                  <c:v>25.506177495069043</c:v>
                </c:pt>
                <c:pt idx="979">
                  <c:v>25.402996781916151</c:v>
                </c:pt>
                <c:pt idx="980">
                  <c:v>25.300337280705556</c:v>
                </c:pt>
                <c:pt idx="981">
                  <c:v>25.198195835237339</c:v>
                </c:pt>
                <c:pt idx="982">
                  <c:v>25.096569311586183</c:v>
                </c:pt>
                <c:pt idx="983">
                  <c:v>24.995454597922095</c:v>
                </c:pt>
                <c:pt idx="984">
                  <c:v>24.894848604332822</c:v>
                </c:pt>
                <c:pt idx="985">
                  <c:v>24.794748262647413</c:v>
                </c:pt>
                <c:pt idx="986">
                  <c:v>24.69515052626123</c:v>
                </c:pt>
                <c:pt idx="987">
                  <c:v>24.596052369963598</c:v>
                </c:pt>
                <c:pt idx="988">
                  <c:v>24.497450789765519</c:v>
                </c:pt>
                <c:pt idx="989">
                  <c:v>24.39934280273032</c:v>
                </c:pt>
                <c:pt idx="990">
                  <c:v>24.301725446805012</c:v>
                </c:pt>
                <c:pt idx="991">
                  <c:v>24.204595780653133</c:v>
                </c:pt>
                <c:pt idx="992">
                  <c:v>24.107950883489632</c:v>
                </c:pt>
                <c:pt idx="993">
                  <c:v>24.011787854916733</c:v>
                </c:pt>
                <c:pt idx="994">
                  <c:v>23.916103814761563</c:v>
                </c:pt>
                <c:pt idx="995">
                  <c:v>23.820895902915233</c:v>
                </c:pt>
                <c:pt idx="996">
                  <c:v>23.726161279173237</c:v>
                </c:pt>
                <c:pt idx="997">
                  <c:v>23.631897123076431</c:v>
                </c:pt>
                <c:pt idx="998">
                  <c:v>23.53810063375623</c:v>
                </c:pt>
                <c:pt idx="999">
                  <c:v>23.444769029777614</c:v>
                </c:pt>
                <c:pt idx="1000">
                  <c:v>23.35189954898533</c:v>
                </c:pt>
                <c:pt idx="1001">
                  <c:v>23.259489448352085</c:v>
                </c:pt>
                <c:pt idx="1002">
                  <c:v>23.167536003826907</c:v>
                </c:pt>
                <c:pt idx="1003">
                  <c:v>23.076036510184942</c:v>
                </c:pt>
                <c:pt idx="1004">
                  <c:v>22.984988280879744</c:v>
                </c:pt>
                <c:pt idx="1005">
                  <c:v>22.894388647894903</c:v>
                </c:pt>
                <c:pt idx="1006">
                  <c:v>22.804234961599068</c:v>
                </c:pt>
                <c:pt idx="1007">
                  <c:v>22.714524590601116</c:v>
                </c:pt>
                <c:pt idx="1008">
                  <c:v>22.625254921606217</c:v>
                </c:pt>
                <c:pt idx="1009">
                  <c:v>22.536423359274458</c:v>
                </c:pt>
                <c:pt idx="1010">
                  <c:v>22.448027326079707</c:v>
                </c:pt>
                <c:pt idx="1011">
                  <c:v>22.360064262169892</c:v>
                </c:pt>
                <c:pt idx="1012">
                  <c:v>22.272531625228794</c:v>
                </c:pt>
                <c:pt idx="1013">
                  <c:v>22.18542689033907</c:v>
                </c:pt>
                <c:pt idx="1014">
                  <c:v>22.098747549845918</c:v>
                </c:pt>
                <c:pt idx="1015">
                  <c:v>22.012491113222442</c:v>
                </c:pt>
                <c:pt idx="1016">
                  <c:v>21.926655106936312</c:v>
                </c:pt>
                <c:pt idx="1017">
                  <c:v>21.841237074317114</c:v>
                </c:pt>
                <c:pt idx="1018">
                  <c:v>21.756234575425303</c:v>
                </c:pt>
                <c:pt idx="1019">
                  <c:v>21.671645186921914</c:v>
                </c:pt>
                <c:pt idx="1020">
                  <c:v>21.587466501939709</c:v>
                </c:pt>
                <c:pt idx="1021">
                  <c:v>21.503696129955582</c:v>
                </c:pt>
                <c:pt idx="1022">
                  <c:v>21.420331696663165</c:v>
                </c:pt>
                <c:pt idx="1023">
                  <c:v>21.337370843848085</c:v>
                </c:pt>
                <c:pt idx="1024">
                  <c:v>21.254811229262927</c:v>
                </c:pt>
                <c:pt idx="1025">
                  <c:v>21.172650526503606</c:v>
                </c:pt>
                <c:pt idx="1026">
                  <c:v>21.090886424887746</c:v>
                </c:pt>
                <c:pt idx="1027">
                  <c:v>21.009516629332765</c:v>
                </c:pt>
                <c:pt idx="1028">
                  <c:v>20.928538860235516</c:v>
                </c:pt>
                <c:pt idx="1029">
                  <c:v>20.847950853353897</c:v>
                </c:pt>
                <c:pt idx="1030">
                  <c:v>20.767750359687778</c:v>
                </c:pt>
                <c:pt idx="1031">
                  <c:v>20.687935145362264</c:v>
                </c:pt>
                <c:pt idx="1032">
                  <c:v>20.608502991511724</c:v>
                </c:pt>
                <c:pt idx="1033">
                  <c:v>20.529451694164127</c:v>
                </c:pt>
                <c:pt idx="1034">
                  <c:v>20.450779064127438</c:v>
                </c:pt>
                <c:pt idx="1035">
                  <c:v>20.372482926876216</c:v>
                </c:pt>
                <c:pt idx="1036">
                  <c:v>20.294561122439355</c:v>
                </c:pt>
                <c:pt idx="1037">
                  <c:v>20.217011505289001</c:v>
                </c:pt>
                <c:pt idx="1038">
                  <c:v>20.13983194423027</c:v>
                </c:pt>
                <c:pt idx="1039">
                  <c:v>20.063020322291742</c:v>
                </c:pt>
                <c:pt idx="1040">
                  <c:v>19.986574536617443</c:v>
                </c:pt>
                <c:pt idx="1041">
                  <c:v>19.910492498358888</c:v>
                </c:pt>
                <c:pt idx="1042">
                  <c:v>19.834772132569181</c:v>
                </c:pt>
                <c:pt idx="1043">
                  <c:v>19.759411378096662</c:v>
                </c:pt>
                <c:pt idx="1044">
                  <c:v>19.684408187480795</c:v>
                </c:pt>
                <c:pt idx="1045">
                  <c:v>19.609760526848074</c:v>
                </c:pt>
                <c:pt idx="1046">
                  <c:v>19.535466375809072</c:v>
                </c:pt>
                <c:pt idx="1047">
                  <c:v>19.461523727356226</c:v>
                </c:pt>
                <c:pt idx="1048">
                  <c:v>19.387930587763144</c:v>
                </c:pt>
                <c:pt idx="1049">
                  <c:v>19.314684976483591</c:v>
                </c:pt>
                <c:pt idx="1050">
                  <c:v>19.241784926052702</c:v>
                </c:pt>
                <c:pt idx="1051">
                  <c:v>19.169228481987496</c:v>
                </c:pt>
                <c:pt idx="1052">
                  <c:v>19.097013702690045</c:v>
                </c:pt>
                <c:pt idx="1053">
                  <c:v>19.025138659349754</c:v>
                </c:pt>
                <c:pt idx="1054">
                  <c:v>18.953601435847425</c:v>
                </c:pt>
                <c:pt idx="1055">
                  <c:v>18.882400128659839</c:v>
                </c:pt>
                <c:pt idx="1056">
                  <c:v>18.811532846765623</c:v>
                </c:pt>
                <c:pt idx="1057">
                  <c:v>18.740997711550911</c:v>
                </c:pt>
                <c:pt idx="1058">
                  <c:v>18.670792856716783</c:v>
                </c:pt>
                <c:pt idx="1059">
                  <c:v>18.600916428186924</c:v>
                </c:pt>
                <c:pt idx="1060">
                  <c:v>18.531366584016254</c:v>
                </c:pt>
                <c:pt idx="1061">
                  <c:v>18.462141494300347</c:v>
                </c:pt>
                <c:pt idx="1062">
                  <c:v>18.3932393410856</c:v>
                </c:pt>
                <c:pt idx="1063">
                  <c:v>18.324658318280019</c:v>
                </c:pt>
                <c:pt idx="1064">
                  <c:v>18.256396631564943</c:v>
                </c:pt>
                <c:pt idx="1065">
                  <c:v>18.188452498307182</c:v>
                </c:pt>
                <c:pt idx="1066">
                  <c:v>18.120824147472621</c:v>
                </c:pt>
                <c:pt idx="1067">
                  <c:v>18.053509819539357</c:v>
                </c:pt>
                <c:pt idx="1068">
                  <c:v>17.986507766413038</c:v>
                </c:pt>
                <c:pt idx="1069">
                  <c:v>17.919816251341494</c:v>
                </c:pt>
                <c:pt idx="1070">
                  <c:v>17.853433548830854</c:v>
                </c:pt>
                <c:pt idx="1071">
                  <c:v>17.787357944562579</c:v>
                </c:pt>
                <c:pt idx="1072">
                  <c:v>17.721587735310315</c:v>
                </c:pt>
                <c:pt idx="1073">
                  <c:v>17.656121228858368</c:v>
                </c:pt>
                <c:pt idx="1074">
                  <c:v>17.59095674391995</c:v>
                </c:pt>
                <c:pt idx="1075">
                  <c:v>17.526092610057177</c:v>
                </c:pt>
                <c:pt idx="1076">
                  <c:v>17.461527167600785</c:v>
                </c:pt>
                <c:pt idx="1077">
                  <c:v>17.397258767570868</c:v>
                </c:pt>
                <c:pt idx="1078">
                  <c:v>17.333285771598234</c:v>
                </c:pt>
                <c:pt idx="1079">
                  <c:v>17.269606551846753</c:v>
                </c:pt>
                <c:pt idx="1080">
                  <c:v>17.206219490935712</c:v>
                </c:pt>
                <c:pt idx="1081">
                  <c:v>17.143122981863215</c:v>
                </c:pt>
                <c:pt idx="1082">
                  <c:v>17.080315427930202</c:v>
                </c:pt>
                <c:pt idx="1083">
                  <c:v>17.017795242665105</c:v>
                </c:pt>
                <c:pt idx="1084">
                  <c:v>16.95556084974875</c:v>
                </c:pt>
                <c:pt idx="1085">
                  <c:v>16.893610682940572</c:v>
                </c:pt>
                <c:pt idx="1086">
                  <c:v>16.831943186004779</c:v>
                </c:pt>
                <c:pt idx="1087">
                  <c:v>16.770556812637299</c:v>
                </c:pt>
                <c:pt idx="1088">
                  <c:v>16.709450026393721</c:v>
                </c:pt>
                <c:pt idx="1089">
                  <c:v>16.648621300617396</c:v>
                </c:pt>
                <c:pt idx="1090">
                  <c:v>16.588069118367684</c:v>
                </c:pt>
                <c:pt idx="1091">
                  <c:v>16.527791972350869</c:v>
                </c:pt>
                <c:pt idx="1092">
                  <c:v>16.467788364847941</c:v>
                </c:pt>
                <c:pt idx="1093">
                  <c:v>16.408056807646918</c:v>
                </c:pt>
                <c:pt idx="1094">
                  <c:v>16.348595821973646</c:v>
                </c:pt>
                <c:pt idx="1095">
                  <c:v>16.289403938422343</c:v>
                </c:pt>
                <c:pt idx="1096">
                  <c:v>16.230479696889223</c:v>
                </c:pt>
                <c:pt idx="1097">
                  <c:v>16.171821646504473</c:v>
                </c:pt>
                <c:pt idx="1098">
                  <c:v>16.113428345565715</c:v>
                </c:pt>
                <c:pt idx="1099">
                  <c:v>16.055298361472101</c:v>
                </c:pt>
                <c:pt idx="1100">
                  <c:v>15.99743027065832</c:v>
                </c:pt>
                <c:pt idx="1101">
                  <c:v>15.939822658529947</c:v>
                </c:pt>
                <c:pt idx="1102">
                  <c:v>15.882474119398516</c:v>
                </c:pt>
                <c:pt idx="1103">
                  <c:v>15.825383256417664</c:v>
                </c:pt>
                <c:pt idx="1104">
                  <c:v>15.76854868151981</c:v>
                </c:pt>
                <c:pt idx="1105">
                  <c:v>15.711969015352835</c:v>
                </c:pt>
                <c:pt idx="1106">
                  <c:v>15.655642887217667</c:v>
                </c:pt>
                <c:pt idx="1107">
                  <c:v>15.599568935006527</c:v>
                </c:pt>
                <c:pt idx="1108">
                  <c:v>15.54374580514126</c:v>
                </c:pt>
                <c:pt idx="1109">
                  <c:v>15.488172152512325</c:v>
                </c:pt>
                <c:pt idx="1110">
                  <c:v>15.432846640418347</c:v>
                </c:pt>
                <c:pt idx="1111">
                  <c:v>15.377767940506088</c:v>
                </c:pt>
                <c:pt idx="1112">
                  <c:v>15.322934732710976</c:v>
                </c:pt>
                <c:pt idx="1113">
                  <c:v>15.268345705198055</c:v>
                </c:pt>
                <c:pt idx="1114">
                  <c:v>15.213999554303252</c:v>
                </c:pt>
                <c:pt idx="1115">
                  <c:v>15.159894984475493</c:v>
                </c:pt>
                <c:pt idx="1116">
                  <c:v>15.10603070821873</c:v>
                </c:pt>
                <c:pt idx="1117">
                  <c:v>15.052405446035189</c:v>
                </c:pt>
                <c:pt idx="1118">
                  <c:v>14.999017926368287</c:v>
                </c:pt>
                <c:pt idx="1119">
                  <c:v>14.945866885546454</c:v>
                </c:pt>
                <c:pt idx="1120">
                  <c:v>14.89295106772726</c:v>
                </c:pt>
                <c:pt idx="1121">
                  <c:v>14.840269224842368</c:v>
                </c:pt>
                <c:pt idx="1122">
                  <c:v>14.787820116541948</c:v>
                </c:pt>
                <c:pt idx="1123">
                  <c:v>14.735602510140801</c:v>
                </c:pt>
                <c:pt idx="1124">
                  <c:v>14.6836151805638</c:v>
                </c:pt>
                <c:pt idx="1125">
                  <c:v>14.631856910292653</c:v>
                </c:pt>
                <c:pt idx="1126">
                  <c:v>14.580326489312398</c:v>
                </c:pt>
                <c:pt idx="1127">
                  <c:v>14.529022715058495</c:v>
                </c:pt>
                <c:pt idx="1128">
                  <c:v>14.477944392364968</c:v>
                </c:pt>
                <c:pt idx="1129">
                  <c:v>14.427090333411831</c:v>
                </c:pt>
                <c:pt idx="1130">
                  <c:v>14.37645935767398</c:v>
                </c:pt>
                <c:pt idx="1131">
                  <c:v>14.326050291869695</c:v>
                </c:pt>
                <c:pt idx="1132">
                  <c:v>14.275861969910181</c:v>
                </c:pt>
                <c:pt idx="1133">
                  <c:v>14.225893232849002</c:v>
                </c:pt>
                <c:pt idx="1134">
                  <c:v>14.176142928832173</c:v>
                </c:pt>
                <c:pt idx="1135">
                  <c:v>14.126609913048776</c:v>
                </c:pt>
                <c:pt idx="1136">
                  <c:v>14.077293047681534</c:v>
                </c:pt>
                <c:pt idx="1137">
                  <c:v>14.028191201858283</c:v>
                </c:pt>
                <c:pt idx="1138">
                  <c:v>13.979303251603246</c:v>
                </c:pt>
                <c:pt idx="1139">
                  <c:v>13.930628079789258</c:v>
                </c:pt>
                <c:pt idx="1140">
                  <c:v>13.882164576090146</c:v>
                </c:pt>
                <c:pt idx="1141">
                  <c:v>13.833911636933163</c:v>
                </c:pt>
                <c:pt idx="1142">
                  <c:v>13.785868165452513</c:v>
                </c:pt>
                <c:pt idx="1143">
                  <c:v>13.738033071442452</c:v>
                </c:pt>
                <c:pt idx="1144">
                  <c:v>13.69040527131115</c:v>
                </c:pt>
                <c:pt idx="1145">
                  <c:v>13.642983688035034</c:v>
                </c:pt>
                <c:pt idx="1146">
                  <c:v>13.595767251113369</c:v>
                </c:pt>
                <c:pt idx="1147">
                  <c:v>13.548754896522807</c:v>
                </c:pt>
                <c:pt idx="1148">
                  <c:v>13.501945566673038</c:v>
                </c:pt>
                <c:pt idx="1149">
                  <c:v>13.45533821036207</c:v>
                </c:pt>
                <c:pt idx="1150">
                  <c:v>13.408931782732479</c:v>
                </c:pt>
                <c:pt idx="1151">
                  <c:v>13.362725245227216</c:v>
                </c:pt>
                <c:pt idx="1152">
                  <c:v>13.316717565546755</c:v>
                </c:pt>
                <c:pt idx="1153">
                  <c:v>13.270907717605672</c:v>
                </c:pt>
                <c:pt idx="1154">
                  <c:v>13.225294681490137</c:v>
                </c:pt>
                <c:pt idx="1155">
                  <c:v>13.179877443415469</c:v>
                </c:pt>
                <c:pt idx="1156">
                  <c:v>13.134654995683864</c:v>
                </c:pt>
                <c:pt idx="1157">
                  <c:v>13.089626336643118</c:v>
                </c:pt>
                <c:pt idx="1158">
                  <c:v>13.044790470644788</c:v>
                </c:pt>
                <c:pt idx="1159">
                  <c:v>13.00014640800322</c:v>
                </c:pt>
                <c:pt idx="1160">
                  <c:v>12.955693164955031</c:v>
                </c:pt>
                <c:pt idx="1161">
                  <c:v>12.911429763618219</c:v>
                </c:pt>
                <c:pt idx="1162">
                  <c:v>12.867355231952269</c:v>
                </c:pt>
                <c:pt idx="1163">
                  <c:v>12.823468603718446</c:v>
                </c:pt>
                <c:pt idx="1164">
                  <c:v>12.779768918439723</c:v>
                </c:pt>
                <c:pt idx="1165">
                  <c:v>12.736255221362249</c:v>
                </c:pt>
                <c:pt idx="1166">
                  <c:v>12.692926563415833</c:v>
                </c:pt>
                <c:pt idx="1167">
                  <c:v>12.649782001175573</c:v>
                </c:pt>
                <c:pt idx="1168">
                  <c:v>12.606820596823546</c:v>
                </c:pt>
                <c:pt idx="1169">
                  <c:v>12.564041418110506</c:v>
                </c:pt>
                <c:pt idx="1170">
                  <c:v>12.521443538318595</c:v>
                </c:pt>
                <c:pt idx="1171">
                  <c:v>12.479026036223347</c:v>
                </c:pt>
                <c:pt idx="1172">
                  <c:v>12.436787996056715</c:v>
                </c:pt>
                <c:pt idx="1173">
                  <c:v>12.39472850747029</c:v>
                </c:pt>
                <c:pt idx="1174">
                  <c:v>12.352846665498614</c:v>
                </c:pt>
                <c:pt idx="1175">
                  <c:v>12.311141570522588</c:v>
                </c:pt>
                <c:pt idx="1176">
                  <c:v>12.269612328233778</c:v>
                </c:pt>
                <c:pt idx="1177">
                  <c:v>12.228258049598473</c:v>
                </c:pt>
                <c:pt idx="1178">
                  <c:v>12.187077850821904</c:v>
                </c:pt>
                <c:pt idx="1179">
                  <c:v>12.146070853313553</c:v>
                </c:pt>
                <c:pt idx="1180">
                  <c:v>12.105236183651522</c:v>
                </c:pt>
                <c:pt idx="1181">
                  <c:v>12.064572973548337</c:v>
                </c:pt>
                <c:pt idx="1182">
                  <c:v>12.0240803598161</c:v>
                </c:pt>
                <c:pt idx="1183">
                  <c:v>11.983757484332591</c:v>
                </c:pt>
                <c:pt idx="1184">
                  <c:v>11.943603494007194</c:v>
                </c:pt>
                <c:pt idx="1185">
                  <c:v>11.903617540746966</c:v>
                </c:pt>
                <c:pt idx="1186">
                  <c:v>11.863798781423617</c:v>
                </c:pt>
                <c:pt idx="1187">
                  <c:v>11.82414637784021</c:v>
                </c:pt>
                <c:pt idx="1188">
                  <c:v>11.784659496698032</c:v>
                </c:pt>
                <c:pt idx="1189">
                  <c:v>11.745337309564093</c:v>
                </c:pt>
                <c:pt idx="1190">
                  <c:v>11.706178992838645</c:v>
                </c:pt>
                <c:pt idx="1191">
                  <c:v>11.667183727722827</c:v>
                </c:pt>
                <c:pt idx="1192">
                  <c:v>11.62835070018707</c:v>
                </c:pt>
                <c:pt idx="1193">
                  <c:v>11.589679100938918</c:v>
                </c:pt>
                <c:pt idx="1194">
                  <c:v>11.551168125391982</c:v>
                </c:pt>
                <c:pt idx="1195">
                  <c:v>11.512816973634454</c:v>
                </c:pt>
                <c:pt idx="1196">
                  <c:v>11.474624850397969</c:v>
                </c:pt>
                <c:pt idx="1197">
                  <c:v>11.436590965027147</c:v>
                </c:pt>
                <c:pt idx="1198">
                  <c:v>11.398714531448883</c:v>
                </c:pt>
                <c:pt idx="1199">
                  <c:v>11.360994768141879</c:v>
                </c:pt>
                <c:pt idx="1200">
                  <c:v>11.323430898106922</c:v>
                </c:pt>
                <c:pt idx="1201">
                  <c:v>11.286022148836555</c:v>
                </c:pt>
                <c:pt idx="1202">
                  <c:v>11.24876775228566</c:v>
                </c:pt>
                <c:pt idx="1203">
                  <c:v>11.211666944842165</c:v>
                </c:pt>
                <c:pt idx="1204">
                  <c:v>11.174718967297499</c:v>
                </c:pt>
                <c:pt idx="1205">
                  <c:v>11.137923064817885</c:v>
                </c:pt>
                <c:pt idx="1206">
                  <c:v>11.101278486915318</c:v>
                </c:pt>
                <c:pt idx="1207">
                  <c:v>11.064784487419164</c:v>
                </c:pt>
                <c:pt idx="1208">
                  <c:v>11.028440324447718</c:v>
                </c:pt>
                <c:pt idx="1209">
                  <c:v>10.99224526038018</c:v>
                </c:pt>
                <c:pt idx="1210">
                  <c:v>10.956198561828442</c:v>
                </c:pt>
                <c:pt idx="1211">
                  <c:v>10.920299499609687</c:v>
                </c:pt>
                <c:pt idx="1212">
                  <c:v>10.884547348718538</c:v>
                </c:pt>
                <c:pt idx="1213">
                  <c:v>10.848941388299945</c:v>
                </c:pt>
                <c:pt idx="1214">
                  <c:v>10.813480901622054</c:v>
                </c:pt>
                <c:pt idx="1215">
                  <c:v>10.77816517604901</c:v>
                </c:pt>
                <c:pt idx="1216">
                  <c:v>10.742993503014727</c:v>
                </c:pt>
                <c:pt idx="1217">
                  <c:v>10.707965177995733</c:v>
                </c:pt>
                <c:pt idx="1218">
                  <c:v>10.673079500485324</c:v>
                </c:pt>
                <c:pt idx="1219">
                  <c:v>10.638335773967217</c:v>
                </c:pt>
                <c:pt idx="1220">
                  <c:v>10.603733305889554</c:v>
                </c:pt>
                <c:pt idx="1221">
                  <c:v>10.569271407639354</c:v>
                </c:pt>
                <c:pt idx="1222">
                  <c:v>10.534949394516469</c:v>
                </c:pt>
                <c:pt idx="1223">
                  <c:v>10.500766585708863</c:v>
                </c:pt>
                <c:pt idx="1224">
                  <c:v>10.466722304266685</c:v>
                </c:pt>
                <c:pt idx="1225">
                  <c:v>10.432815877077809</c:v>
                </c:pt>
                <c:pt idx="1226">
                  <c:v>10.399046634842787</c:v>
                </c:pt>
                <c:pt idx="1227">
                  <c:v>10.365413912050029</c:v>
                </c:pt>
                <c:pt idx="1228">
                  <c:v>10.331917046951597</c:v>
                </c:pt>
                <c:pt idx="1229">
                  <c:v>10.298555381538737</c:v>
                </c:pt>
                <c:pt idx="1230">
                  <c:v>10.265328261517835</c:v>
                </c:pt>
                <c:pt idx="1231">
                  <c:v>10.232235036286356</c:v>
                </c:pt>
                <c:pt idx="1232">
                  <c:v>10.199275058909128</c:v>
                </c:pt>
                <c:pt idx="1233">
                  <c:v>10.166447686094768</c:v>
                </c:pt>
                <c:pt idx="1234">
                  <c:v>10.133752278172274</c:v>
                </c:pt>
                <c:pt idx="1235">
                  <c:v>10.101188199067618</c:v>
                </c:pt>
                <c:pt idx="1236">
                  <c:v>10.068754816280743</c:v>
                </c:pt>
                <c:pt idx="1237">
                  <c:v>10.036451500862634</c:v>
                </c:pt>
                <c:pt idx="1238">
                  <c:v>10.004277627392582</c:v>
                </c:pt>
                <c:pt idx="1239">
                  <c:v>9.9722325739554361</c:v>
                </c:pt>
                <c:pt idx="1240">
                  <c:v>9.9403157221193847</c:v>
                </c:pt>
                <c:pt idx="1241">
                  <c:v>9.908526456913485</c:v>
                </c:pt>
                <c:pt idx="1242">
                  <c:v>9.8768641668055892</c:v>
                </c:pt>
                <c:pt idx="1243">
                  <c:v>9.845328243680548</c:v>
                </c:pt>
                <c:pt idx="1244">
                  <c:v>9.813918082818164</c:v>
                </c:pt>
                <c:pt idx="1245">
                  <c:v>9.7826330828716781</c:v>
                </c:pt>
                <c:pt idx="1246">
                  <c:v>9.7514726458462917</c:v>
                </c:pt>
                <c:pt idx="1247">
                  <c:v>9.7204361770778025</c:v>
                </c:pt>
                <c:pt idx="1248">
                  <c:v>9.6895230852113734</c:v>
                </c:pt>
                <c:pt idx="1249">
                  <c:v>9.6587327821806248</c:v>
                </c:pt>
                <c:pt idx="1250">
                  <c:v>9.6280646831866452</c:v>
                </c:pt>
                <c:pt idx="1251">
                  <c:v>9.5975182066772327</c:v>
                </c:pt>
                <c:pt idx="1252">
                  <c:v>9.5670927743264205</c:v>
                </c:pt>
                <c:pt idx="1253">
                  <c:v>9.5367878110140367</c:v>
                </c:pt>
                <c:pt idx="1254">
                  <c:v>9.5066027448053205</c:v>
                </c:pt>
                <c:pt idx="1255">
                  <c:v>9.4765370069307799</c:v>
                </c:pt>
                <c:pt idx="1256">
                  <c:v>9.4465900317662186</c:v>
                </c:pt>
                <c:pt idx="1257">
                  <c:v>9.416761256813011</c:v>
                </c:pt>
                <c:pt idx="1258">
                  <c:v>9.3870501226780583</c:v>
                </c:pt>
                <c:pt idx="1259">
                  <c:v>9.3574560730545997</c:v>
                </c:pt>
                <c:pt idx="1260">
                  <c:v>9.3279785547023639</c:v>
                </c:pt>
                <c:pt idx="1261">
                  <c:v>9.2986170174286347</c:v>
                </c:pt>
                <c:pt idx="1262">
                  <c:v>9.269370914068789</c:v>
                </c:pt>
                <c:pt idx="1263">
                  <c:v>9.2402397004674857</c:v>
                </c:pt>
                <c:pt idx="1264">
                  <c:v>9.2112228354596457</c:v>
                </c:pt>
                <c:pt idx="1265">
                  <c:v>9.1823197808517136</c:v>
                </c:pt>
                <c:pt idx="1266">
                  <c:v>9.1535300014030199</c:v>
                </c:pt>
                <c:pt idx="1267">
                  <c:v>9.1248529648071859</c:v>
                </c:pt>
                <c:pt idx="1268">
                  <c:v>9.096288141674048</c:v>
                </c:pt>
                <c:pt idx="1269">
                  <c:v>9.0678350055111281</c:v>
                </c:pt>
                <c:pt idx="1270">
                  <c:v>9.0394930327055363</c:v>
                </c:pt>
                <c:pt idx="1271">
                  <c:v>9.0112617025061077</c:v>
                </c:pt>
                <c:pt idx="1272">
                  <c:v>8.9831404970055928</c:v>
                </c:pt>
                <c:pt idx="1273">
                  <c:v>8.9551289011226824</c:v>
                </c:pt>
                <c:pt idx="1274">
                  <c:v>8.927226402584667</c:v>
                </c:pt>
                <c:pt idx="1275">
                  <c:v>8.8994324919096783</c:v>
                </c:pt>
                <c:pt idx="1276">
                  <c:v>8.8717466623895493</c:v>
                </c:pt>
                <c:pt idx="1277">
                  <c:v>8.844168410072534</c:v>
                </c:pt>
                <c:pt idx="1278">
                  <c:v>8.8166972337460994</c:v>
                </c:pt>
                <c:pt idx="1279">
                  <c:v>8.7893326349200294</c:v>
                </c:pt>
                <c:pt idx="1280">
                  <c:v>8.7620741178091901</c:v>
                </c:pt>
                <c:pt idx="1281">
                  <c:v>8.7349211893174523</c:v>
                </c:pt>
                <c:pt idx="1282">
                  <c:v>8.7078733590203807</c:v>
                </c:pt>
                <c:pt idx="1283">
                  <c:v>8.680930139149023</c:v>
                </c:pt>
                <c:pt idx="1284">
                  <c:v>8.6540910445734944</c:v>
                </c:pt>
                <c:pt idx="1285">
                  <c:v>8.6273555927864738</c:v>
                </c:pt>
                <c:pt idx="1286">
                  <c:v>8.6007233038872801</c:v>
                </c:pt>
                <c:pt idx="1287">
                  <c:v>8.5741937005655089</c:v>
                </c:pt>
                <c:pt idx="1288">
                  <c:v>8.5477663080852722</c:v>
                </c:pt>
                <c:pt idx="1289">
                  <c:v>8.521440654269421</c:v>
                </c:pt>
                <c:pt idx="1290">
                  <c:v>8.495216269483393</c:v>
                </c:pt>
                <c:pt idx="1291">
                  <c:v>8.4690926866200886</c:v>
                </c:pt>
                <c:pt idx="1292">
                  <c:v>8.4430694410838747</c:v>
                </c:pt>
                <c:pt idx="1293">
                  <c:v>8.4171460707755514</c:v>
                </c:pt>
                <c:pt idx="1294">
                  <c:v>8.3913221160767826</c:v>
                </c:pt>
                <c:pt idx="1295">
                  <c:v>8.3655971198349022</c:v>
                </c:pt>
                <c:pt idx="1296">
                  <c:v>8.3399706273480501</c:v>
                </c:pt>
                <c:pt idx="1297">
                  <c:v>8.3144421863498312</c:v>
                </c:pt>
                <c:pt idx="1298">
                  <c:v>8.2890113469946272</c:v>
                </c:pt>
                <c:pt idx="1299">
                  <c:v>8.2636776618427685</c:v>
                </c:pt>
                <c:pt idx="1300">
                  <c:v>8.2384406858457879</c:v>
                </c:pt>
                <c:pt idx="1301">
                  <c:v>8.2132999763318395</c:v>
                </c:pt>
                <c:pt idx="1302">
                  <c:v>8.1882550929912927</c:v>
                </c:pt>
                <c:pt idx="1303">
                  <c:v>8.1633055978622142</c:v>
                </c:pt>
                <c:pt idx="1304">
                  <c:v>8.1384510553161693</c:v>
                </c:pt>
                <c:pt idx="1305">
                  <c:v>8.1136910320439544</c:v>
                </c:pt>
                <c:pt idx="1306">
                  <c:v>8.0890250970415654</c:v>
                </c:pt>
                <c:pt idx="1307">
                  <c:v>8.0644528215960634</c:v>
                </c:pt>
                <c:pt idx="1308">
                  <c:v>8.039973779271838</c:v>
                </c:pt>
                <c:pt idx="1309">
                  <c:v>8.015587545896679</c:v>
                </c:pt>
                <c:pt idx="1310">
                  <c:v>7.991293699548109</c:v>
                </c:pt>
                <c:pt idx="1311">
                  <c:v>7.9670918205397463</c:v>
                </c:pt>
                <c:pt idx="1312">
                  <c:v>7.9429814914076813</c:v>
                </c:pt>
                <c:pt idx="1313">
                  <c:v>7.9189622968972113</c:v>
                </c:pt>
                <c:pt idx="1314">
                  <c:v>7.8950338239493831</c:v>
                </c:pt>
                <c:pt idx="1315">
                  <c:v>7.8711956616877297</c:v>
                </c:pt>
                <c:pt idx="1316">
                  <c:v>7.8474474014050406</c:v>
                </c:pt>
                <c:pt idx="1317">
                  <c:v>7.8237886365505256</c:v>
                </c:pt>
                <c:pt idx="1318">
                  <c:v>7.8002189627164693</c:v>
                </c:pt>
                <c:pt idx="1319">
                  <c:v>7.7767379776257135</c:v>
                </c:pt>
                <c:pt idx="1320">
                  <c:v>7.7533452811184711</c:v>
                </c:pt>
                <c:pt idx="1321">
                  <c:v>7.7300404751398926</c:v>
                </c:pt>
                <c:pt idx="1322">
                  <c:v>7.7068231637271891</c:v>
                </c:pt>
                <c:pt idx="1323">
                  <c:v>7.6836929529973172</c:v>
                </c:pt>
                <c:pt idx="1324">
                  <c:v>7.6606494511342369</c:v>
                </c:pt>
                <c:pt idx="1325">
                  <c:v>7.6376922683767745</c:v>
                </c:pt>
                <c:pt idx="1326">
                  <c:v>7.6148210170061832</c:v>
                </c:pt>
                <c:pt idx="1327">
                  <c:v>7.5920353113338397</c:v>
                </c:pt>
                <c:pt idx="1328">
                  <c:v>7.5693347676892726</c:v>
                </c:pt>
                <c:pt idx="1329">
                  <c:v>7.5467190044081303</c:v>
                </c:pt>
                <c:pt idx="1330">
                  <c:v>7.5241876418199549</c:v>
                </c:pt>
                <c:pt idx="1331">
                  <c:v>7.5017403022364775</c:v>
                </c:pt>
                <c:pt idx="1332">
                  <c:v>7.4793766099398482</c:v>
                </c:pt>
                <c:pt idx="1333">
                  <c:v>7.4570961911706934</c:v>
                </c:pt>
                <c:pt idx="1334">
                  <c:v>7.4348986741166829</c:v>
                </c:pt>
                <c:pt idx="1335">
                  <c:v>7.4127836889007659</c:v>
                </c:pt>
                <c:pt idx="1336">
                  <c:v>7.3907508675697295</c:v>
                </c:pt>
                <c:pt idx="1337">
                  <c:v>7.3687998440827869</c:v>
                </c:pt>
                <c:pt idx="1338">
                  <c:v>7.346930254300311</c:v>
                </c:pt>
                <c:pt idx="1339">
                  <c:v>7.3251417359723474</c:v>
                </c:pt>
                <c:pt idx="1340">
                  <c:v>7.3034339287275865</c:v>
                </c:pt>
                <c:pt idx="1341">
                  <c:v>7.2818064740622201</c:v>
                </c:pt>
                <c:pt idx="1342">
                  <c:v>7.2602590153288222</c:v>
                </c:pt>
                <c:pt idx="1343">
                  <c:v>7.2387911977253356</c:v>
                </c:pt>
                <c:pt idx="1344">
                  <c:v>7.2174026682844206</c:v>
                </c:pt>
                <c:pt idx="1345">
                  <c:v>7.1960930758622226</c:v>
                </c:pt>
                <c:pt idx="1346">
                  <c:v>7.1748620711279552</c:v>
                </c:pt>
                <c:pt idx="1347">
                  <c:v>7.1537093065530941</c:v>
                </c:pt>
                <c:pt idx="1348">
                  <c:v>7.1326344364006928</c:v>
                </c:pt>
                <c:pt idx="1349">
                  <c:v>7.1116371167148742</c:v>
                </c:pt>
                <c:pt idx="1350">
                  <c:v>7.0907170053103972</c:v>
                </c:pt>
                <c:pt idx="1351">
                  <c:v>7.0698737617623086</c:v>
                </c:pt>
                <c:pt idx="1352">
                  <c:v>7.0491070473952808</c:v>
                </c:pt>
                <c:pt idx="1353">
                  <c:v>7.0284165252738315</c:v>
                </c:pt>
                <c:pt idx="1354">
                  <c:v>7.0078018601916918</c:v>
                </c:pt>
                <c:pt idx="1355">
                  <c:v>6.9872627186618805</c:v>
                </c:pt>
                <c:pt idx="1356">
                  <c:v>6.9667987689066102</c:v>
                </c:pt>
                <c:pt idx="1357">
                  <c:v>6.9464096808472506</c:v>
                </c:pt>
                <c:pt idx="1358">
                  <c:v>6.9260951260943333</c:v>
                </c:pt>
                <c:pt idx="1359">
                  <c:v>6.9058547779379218</c:v>
                </c:pt>
                <c:pt idx="1360">
                  <c:v>6.8856883113374652</c:v>
                </c:pt>
                <c:pt idx="1361">
                  <c:v>6.8655954029122928</c:v>
                </c:pt>
                <c:pt idx="1362">
                  <c:v>6.8455757309318246</c:v>
                </c:pt>
                <c:pt idx="1363">
                  <c:v>6.8256289753060697</c:v>
                </c:pt>
                <c:pt idx="1364">
                  <c:v>6.80575481757589</c:v>
                </c:pt>
                <c:pt idx="1365">
                  <c:v>6.785952940903746</c:v>
                </c:pt>
                <c:pt idx="1366">
                  <c:v>6.7662230300640127</c:v>
                </c:pt>
                <c:pt idx="1367">
                  <c:v>6.7465647714338015</c:v>
                </c:pt>
                <c:pt idx="1368">
                  <c:v>6.7269778529835591</c:v>
                </c:pt>
                <c:pt idx="1369">
                  <c:v>6.7074619642680284</c:v>
                </c:pt>
                <c:pt idx="1370">
                  <c:v>6.6880167964164983</c:v>
                </c:pt>
                <c:pt idx="1371">
                  <c:v>6.6686420421245334</c:v>
                </c:pt>
                <c:pt idx="1372">
                  <c:v>6.6493373956442081</c:v>
                </c:pt>
                <c:pt idx="1373">
                  <c:v>6.6301025527751989</c:v>
                </c:pt>
                <c:pt idx="1374">
                  <c:v>6.6109372108563722</c:v>
                </c:pt>
                <c:pt idx="1375">
                  <c:v>6.5918410687561435</c:v>
                </c:pt>
                <c:pt idx="1376">
                  <c:v>6.5728138268641674</c:v>
                </c:pt>
                <c:pt idx="1377">
                  <c:v>6.5538551870823367</c:v>
                </c:pt>
                <c:pt idx="1378">
                  <c:v>6.5349648528161906</c:v>
                </c:pt>
                <c:pt idx="1379">
                  <c:v>6.5161425289661379</c:v>
                </c:pt>
                <c:pt idx="1380">
                  <c:v>6.4973879219189774</c:v>
                </c:pt>
                <c:pt idx="1381">
                  <c:v>6.4787007395391267</c:v>
                </c:pt>
                <c:pt idx="1382">
                  <c:v>6.4600806911604387</c:v>
                </c:pt>
                <c:pt idx="1383">
                  <c:v>6.441527487577531</c:v>
                </c:pt>
                <c:pt idx="1384">
                  <c:v>6.4230408410374293</c:v>
                </c:pt>
                <c:pt idx="1385">
                  <c:v>6.4046204652313463</c:v>
                </c:pt>
                <c:pt idx="1386">
                  <c:v>6.3862660752863318</c:v>
                </c:pt>
                <c:pt idx="1387">
                  <c:v>6.3679773877570112</c:v>
                </c:pt>
                <c:pt idx="1388">
                  <c:v>6.3497541206174697</c:v>
                </c:pt>
                <c:pt idx="1389">
                  <c:v>6.3315959932531545</c:v>
                </c:pt>
                <c:pt idx="1390">
                  <c:v>6.3135027264527706</c:v>
                </c:pt>
                <c:pt idx="1391">
                  <c:v>6.2954740424002047</c:v>
                </c:pt>
                <c:pt idx="1392">
                  <c:v>6.2775096646667876</c:v>
                </c:pt>
                <c:pt idx="1393">
                  <c:v>6.259609318203025</c:v>
                </c:pt>
                <c:pt idx="1394">
                  <c:v>6.2417727293311023</c:v>
                </c:pt>
                <c:pt idx="1395">
                  <c:v>6.2239996257368091</c:v>
                </c:pt>
                <c:pt idx="1396">
                  <c:v>6.2062897364619891</c:v>
                </c:pt>
                <c:pt idx="1397">
                  <c:v>6.1886427918965623</c:v>
                </c:pt>
                <c:pt idx="1398">
                  <c:v>6.1710585237711575</c:v>
                </c:pt>
                <c:pt idx="1399">
                  <c:v>6.1535366651493302</c:v>
                </c:pt>
                <c:pt idx="1400">
                  <c:v>6.1360769504200139</c:v>
                </c:pt>
                <c:pt idx="1401">
                  <c:v>6.1186791152900204</c:v>
                </c:pt>
                <c:pt idx="1402">
                  <c:v>6.1013428967765675</c:v>
                </c:pt>
                <c:pt idx="1403">
                  <c:v>6.0840680331999053</c:v>
                </c:pt>
                <c:pt idx="1404">
                  <c:v>6.066854264175924</c:v>
                </c:pt>
                <c:pt idx="1405">
                  <c:v>6.049701330608718</c:v>
                </c:pt>
                <c:pt idx="1406">
                  <c:v>6.0326089746834644</c:v>
                </c:pt>
                <c:pt idx="1407">
                  <c:v>6.0155769398590948</c:v>
                </c:pt>
                <c:pt idx="1408">
                  <c:v>5.9986049708611251</c:v>
                </c:pt>
                <c:pt idx="1409">
                  <c:v>5.9816928136746093</c:v>
                </c:pt>
                <c:pt idx="1410">
                  <c:v>5.9648402155368636</c:v>
                </c:pt>
                <c:pt idx="1411">
                  <c:v>5.9480469249305328</c:v>
                </c:pt>
                <c:pt idx="1412">
                  <c:v>5.931312691576542</c:v>
                </c:pt>
                <c:pt idx="1413">
                  <c:v>5.9146372664272429</c:v>
                </c:pt>
                <c:pt idx="1414">
                  <c:v>5.8980204016592879</c:v>
                </c:pt>
                <c:pt idx="1415">
                  <c:v>5.8814618506669314</c:v>
                </c:pt>
                <c:pt idx="1416">
                  <c:v>5.8649613680551713</c:v>
                </c:pt>
                <c:pt idx="1417">
                  <c:v>5.8485187096328559</c:v>
                </c:pt>
                <c:pt idx="1418">
                  <c:v>5.8321336324060082</c:v>
                </c:pt>
                <c:pt idx="1419">
                  <c:v>5.8158058945712119</c:v>
                </c:pt>
                <c:pt idx="1420">
                  <c:v>5.7995352555088431</c:v>
                </c:pt>
                <c:pt idx="1421">
                  <c:v>5.7833214757763809</c:v>
                </c:pt>
                <c:pt idx="1422">
                  <c:v>5.7671643171019884</c:v>
                </c:pt>
                <c:pt idx="1423">
                  <c:v>5.7510635423779108</c:v>
                </c:pt>
                <c:pt idx="1424">
                  <c:v>5.7350189156540186</c:v>
                </c:pt>
                <c:pt idx="1425">
                  <c:v>5.7190302021312265</c:v>
                </c:pt>
                <c:pt idx="1426">
                  <c:v>5.703097168155228</c:v>
                </c:pt>
                <c:pt idx="1427">
                  <c:v>5.6872195812100275</c:v>
                </c:pt>
                <c:pt idx="1428">
                  <c:v>5.6713972099116789</c:v>
                </c:pt>
                <c:pt idx="1429">
                  <c:v>5.6556298240019069</c:v>
                </c:pt>
                <c:pt idx="1430">
                  <c:v>5.6399171943419644</c:v>
                </c:pt>
                <c:pt idx="1431">
                  <c:v>5.6242590929062493</c:v>
                </c:pt>
                <c:pt idx="1432">
                  <c:v>5.6086552927763238</c:v>
                </c:pt>
                <c:pt idx="1433">
                  <c:v>5.5931055681346429</c:v>
                </c:pt>
                <c:pt idx="1434">
                  <c:v>5.577609694258495</c:v>
                </c:pt>
                <c:pt idx="1435">
                  <c:v>5.5621674475139384</c:v>
                </c:pt>
                <c:pt idx="1436">
                  <c:v>5.5467786053498038</c:v>
                </c:pt>
                <c:pt idx="1437">
                  <c:v>5.5314429462915653</c:v>
                </c:pt>
                <c:pt idx="1438">
                  <c:v>5.516160249935675</c:v>
                </c:pt>
                <c:pt idx="1439">
                  <c:v>5.5009302969433485</c:v>
                </c:pt>
                <c:pt idx="1440">
                  <c:v>5.4857528690348927</c:v>
                </c:pt>
                <c:pt idx="1441">
                  <c:v>5.4706277489837687</c:v>
                </c:pt>
                <c:pt idx="1442">
                  <c:v>5.4555547206107704</c:v>
                </c:pt>
                <c:pt idx="1443">
                  <c:v>5.4405335687784193</c:v>
                </c:pt>
                <c:pt idx="1444">
                  <c:v>5.4255640793849667</c:v>
                </c:pt>
                <c:pt idx="1445">
                  <c:v>5.410646039358963</c:v>
                </c:pt>
                <c:pt idx="1446">
                  <c:v>5.3957792366534028</c:v>
                </c:pt>
                <c:pt idx="1447">
                  <c:v>5.380963460240233</c:v>
                </c:pt>
                <c:pt idx="1448">
                  <c:v>5.3661985001046322</c:v>
                </c:pt>
                <c:pt idx="1449">
                  <c:v>5.3514841472396073</c:v>
                </c:pt>
                <c:pt idx="1450">
                  <c:v>5.336820193640305</c:v>
                </c:pt>
                <c:pt idx="1451">
                  <c:v>5.3222064322986951</c:v>
                </c:pt>
                <c:pt idx="1452">
                  <c:v>5.3076426571979471</c:v>
                </c:pt>
                <c:pt idx="1453">
                  <c:v>5.2931286633071224</c:v>
                </c:pt>
                <c:pt idx="1454">
                  <c:v>5.2786642465757794</c:v>
                </c:pt>
                <c:pt idx="1455">
                  <c:v>5.2642492039285074</c:v>
                </c:pt>
                <c:pt idx="1456">
                  <c:v>5.2498833332598283</c:v>
                </c:pt>
                <c:pt idx="1457">
                  <c:v>5.2355664334285876</c:v>
                </c:pt>
                <c:pt idx="1458">
                  <c:v>5.2212983042530752</c:v>
                </c:pt>
                <c:pt idx="1459">
                  <c:v>5.2070787465054336</c:v>
                </c:pt>
                <c:pt idx="1460">
                  <c:v>5.1929075619067699</c:v>
                </c:pt>
                <c:pt idx="1461">
                  <c:v>5.1787845531217576</c:v>
                </c:pt>
                <c:pt idx="1462">
                  <c:v>5.1647095237536522</c:v>
                </c:pt>
                <c:pt idx="1463">
                  <c:v>5.1506822783391621</c:v>
                </c:pt>
                <c:pt idx="1464">
                  <c:v>5.1367026223434076</c:v>
                </c:pt>
                <c:pt idx="1465">
                  <c:v>5.1227703621547311</c:v>
                </c:pt>
                <c:pt idx="1466">
                  <c:v>5.1088853050798795</c:v>
                </c:pt>
                <c:pt idx="1467">
                  <c:v>5.0950472593390614</c:v>
                </c:pt>
                <c:pt idx="1468">
                  <c:v>5.0812560340606909</c:v>
                </c:pt>
                <c:pt idx="1469">
                  <c:v>5.0675114392768261</c:v>
                </c:pt>
                <c:pt idx="1470">
                  <c:v>5.0538132859181353</c:v>
                </c:pt>
                <c:pt idx="1471">
                  <c:v>5.0401613858090029</c:v>
                </c:pt>
                <c:pt idx="1472">
                  <c:v>5.0265555516627671</c:v>
                </c:pt>
                <c:pt idx="1473">
                  <c:v>5.0129955970769347</c:v>
                </c:pt>
                <c:pt idx="1474">
                  <c:v>4.9994813365283202</c:v>
                </c:pt>
                <c:pt idx="1475">
                  <c:v>4.9860125853684805</c:v>
                </c:pt>
                <c:pt idx="1476">
                  <c:v>4.9725891598187655</c:v>
                </c:pt>
                <c:pt idx="1477">
                  <c:v>4.9592108769659067</c:v>
                </c:pt>
                <c:pt idx="1478">
                  <c:v>4.9458775547570939</c:v>
                </c:pt>
                <c:pt idx="1479">
                  <c:v>4.9325890119956197</c:v>
                </c:pt>
                <c:pt idx="1480">
                  <c:v>4.9193450683360691</c:v>
                </c:pt>
                <c:pt idx="1481">
                  <c:v>4.9061455442798074</c:v>
                </c:pt>
                <c:pt idx="1482">
                  <c:v>4.8929902611705787</c:v>
                </c:pt>
                <c:pt idx="1483">
                  <c:v>4.8798790411897235</c:v>
                </c:pt>
                <c:pt idx="1484">
                  <c:v>4.8668117073519879</c:v>
                </c:pt>
                <c:pt idx="1485">
                  <c:v>4.8537880835008345</c:v>
                </c:pt>
                <c:pt idx="1486">
                  <c:v>4.8408079943041242</c:v>
                </c:pt>
                <c:pt idx="1487">
                  <c:v>4.827871265249656</c:v>
                </c:pt>
                <c:pt idx="1488">
                  <c:v>4.8149777226408714</c:v>
                </c:pt>
                <c:pt idx="1489">
                  <c:v>4.8021271935924057</c:v>
                </c:pt>
                <c:pt idx="1490">
                  <c:v>4.789319506025782</c:v>
                </c:pt>
                <c:pt idx="1491">
                  <c:v>4.7765544886651625</c:v>
                </c:pt>
                <c:pt idx="1492">
                  <c:v>4.7638319710330679</c:v>
                </c:pt>
                <c:pt idx="1493">
                  <c:v>4.7511517834459722</c:v>
                </c:pt>
                <c:pt idx="1494">
                  <c:v>4.7385137570103444</c:v>
                </c:pt>
                <c:pt idx="1495">
                  <c:v>4.7259177236182142</c:v>
                </c:pt>
                <c:pt idx="1496">
                  <c:v>4.7133635159431826</c:v>
                </c:pt>
                <c:pt idx="1497">
                  <c:v>4.700850967436077</c:v>
                </c:pt>
                <c:pt idx="1498">
                  <c:v>4.6883799123210226</c:v>
                </c:pt>
                <c:pt idx="1499">
                  <c:v>4.6759501855911916</c:v>
                </c:pt>
                <c:pt idx="1500">
                  <c:v>4.6635616230048287</c:v>
                </c:pt>
                <c:pt idx="1501">
                  <c:v>4.6512140610811459</c:v>
                </c:pt>
                <c:pt idx="1502">
                  <c:v>4.6389073370962999</c:v>
                </c:pt>
                <c:pt idx="1503">
                  <c:v>4.6266412890794264</c:v>
                </c:pt>
                <c:pt idx="1504">
                  <c:v>4.614415755808615</c:v>
                </c:pt>
                <c:pt idx="1505">
                  <c:v>4.6022305768069449</c:v>
                </c:pt>
                <c:pt idx="1506">
                  <c:v>4.5900855923386716</c:v>
                </c:pt>
                <c:pt idx="1507">
                  <c:v>4.5779806434050974</c:v>
                </c:pt>
                <c:pt idx="1508">
                  <c:v>4.5659155717409527</c:v>
                </c:pt>
                <c:pt idx="1509">
                  <c:v>4.5538902198103139</c:v>
                </c:pt>
                <c:pt idx="1510">
                  <c:v>4.5419044308028411</c:v>
                </c:pt>
                <c:pt idx="1511">
                  <c:v>4.5299580486300082</c:v>
                </c:pt>
                <c:pt idx="1512">
                  <c:v>4.5180509179212747</c:v>
                </c:pt>
                <c:pt idx="1513">
                  <c:v>4.5061828840202436</c:v>
                </c:pt>
                <c:pt idx="1514">
                  <c:v>4.4943537929810393</c:v>
                </c:pt>
                <c:pt idx="1515">
                  <c:v>4.4825634915644619</c:v>
                </c:pt>
                <c:pt idx="1516">
                  <c:v>4.4708118272344013</c:v>
                </c:pt>
                <c:pt idx="1517">
                  <c:v>4.4590986481540567</c:v>
                </c:pt>
                <c:pt idx="1518">
                  <c:v>4.4474238031822644</c:v>
                </c:pt>
                <c:pt idx="1519">
                  <c:v>4.4357871418699633</c:v>
                </c:pt>
                <c:pt idx="1520">
                  <c:v>4.4241885144564534</c:v>
                </c:pt>
                <c:pt idx="1521">
                  <c:v>4.4126277718659201</c:v>
                </c:pt>
                <c:pt idx="1522">
                  <c:v>4.4011047657037592</c:v>
                </c:pt>
                <c:pt idx="1523">
                  <c:v>4.3896193482530528</c:v>
                </c:pt>
                <c:pt idx="1524">
                  <c:v>4.3781713724710096</c:v>
                </c:pt>
                <c:pt idx="1525">
                  <c:v>4.3667606919855766</c:v>
                </c:pt>
                <c:pt idx="1526">
                  <c:v>4.3553871610917358</c:v>
                </c:pt>
                <c:pt idx="1527">
                  <c:v>4.3440506347482151</c:v>
                </c:pt>
                <c:pt idx="1528">
                  <c:v>4.3327509685739294</c:v>
                </c:pt>
                <c:pt idx="1529">
                  <c:v>4.3214880188445965</c:v>
                </c:pt>
                <c:pt idx="1530">
                  <c:v>4.310261642489337</c:v>
                </c:pt>
                <c:pt idx="1531">
                  <c:v>4.2990716970871805</c:v>
                </c:pt>
                <c:pt idx="1532">
                  <c:v>4.2879180408638833</c:v>
                </c:pt>
                <c:pt idx="1533">
                  <c:v>4.2768005326883571</c:v>
                </c:pt>
                <c:pt idx="1534">
                  <c:v>4.2657190320694678</c:v>
                </c:pt>
                <c:pt idx="1535">
                  <c:v>4.2546733991527654</c:v>
                </c:pt>
                <c:pt idx="1536">
                  <c:v>4.2436634947170004</c:v>
                </c:pt>
                <c:pt idx="1537">
                  <c:v>4.2326891801710431</c:v>
                </c:pt>
                <c:pt idx="1538">
                  <c:v>4.2217503175505557</c:v>
                </c:pt>
                <c:pt idx="1539">
                  <c:v>4.2108467695146814</c:v>
                </c:pt>
                <c:pt idx="1540">
                  <c:v>4.1999783993429567</c:v>
                </c:pt>
                <c:pt idx="1541">
                  <c:v>4.1891450709320504</c:v>
                </c:pt>
                <c:pt idx="1542">
                  <c:v>4.1783466487925063</c:v>
                </c:pt>
                <c:pt idx="1543">
                  <c:v>4.167582998045738</c:v>
                </c:pt>
                <c:pt idx="1544">
                  <c:v>4.1568539844207448</c:v>
                </c:pt>
                <c:pt idx="1545">
                  <c:v>4.1461594742510686</c:v>
                </c:pt>
                <c:pt idx="1546">
                  <c:v>4.135499334471632</c:v>
                </c:pt>
                <c:pt idx="1547">
                  <c:v>4.1248734326157201</c:v>
                </c:pt>
                <c:pt idx="1548">
                  <c:v>4.1142816368118122</c:v>
                </c:pt>
                <c:pt idx="1549">
                  <c:v>4.1037238157805458</c:v>
                </c:pt>
                <c:pt idx="1550">
                  <c:v>4.0931998388318362</c:v>
                </c:pt>
                <c:pt idx="1551">
                  <c:v>4.0827095758615704</c:v>
                </c:pt>
                <c:pt idx="1552">
                  <c:v>4.0722528973489078</c:v>
                </c:pt>
                <c:pt idx="1553">
                  <c:v>4.0618296743530236</c:v>
                </c:pt>
                <c:pt idx="1554">
                  <c:v>4.0514397785103418</c:v>
                </c:pt>
                <c:pt idx="1555">
                  <c:v>4.0410830820315331</c:v>
                </c:pt>
                <c:pt idx="1556">
                  <c:v>4.0307594576984789</c:v>
                </c:pt>
                <c:pt idx="1557">
                  <c:v>4.0204687788615274</c:v>
                </c:pt>
                <c:pt idx="1558">
                  <c:v>4.0102109194364006</c:v>
                </c:pt>
                <c:pt idx="1559">
                  <c:v>3.9999857539014645</c:v>
                </c:pt>
                <c:pt idx="1560">
                  <c:v>3.9897931572948551</c:v>
                </c:pt>
                <c:pt idx="1561">
                  <c:v>3.9796330052114892</c:v>
                </c:pt>
                <c:pt idx="1562">
                  <c:v>3.9695051738003824</c:v>
                </c:pt>
                <c:pt idx="1563">
                  <c:v>3.9594095397617193</c:v>
                </c:pt>
                <c:pt idx="1564">
                  <c:v>3.9493459803441282</c:v>
                </c:pt>
                <c:pt idx="1565">
                  <c:v>3.9393143733419542</c:v>
                </c:pt>
                <c:pt idx="1566">
                  <c:v>3.9293145970922452</c:v>
                </c:pt>
                <c:pt idx="1567">
                  <c:v>3.919346530472291</c:v>
                </c:pt>
                <c:pt idx="1568">
                  <c:v>3.9094100528966709</c:v>
                </c:pt>
                <c:pt idx="1569">
                  <c:v>3.8995050443146089</c:v>
                </c:pt>
                <c:pt idx="1570">
                  <c:v>3.8896313852073643</c:v>
                </c:pt>
                <c:pt idx="1571">
                  <c:v>3.8797889565853025</c:v>
                </c:pt>
                <c:pt idx="1572">
                  <c:v>3.8699776399854739</c:v>
                </c:pt>
                <c:pt idx="1573">
                  <c:v>3.8601973174687911</c:v>
                </c:pt>
                <c:pt idx="1574">
                  <c:v>3.8504478716174346</c:v>
                </c:pt>
                <c:pt idx="1575">
                  <c:v>3.840729185532211</c:v>
                </c:pt>
                <c:pt idx="1576">
                  <c:v>3.8310411428299402</c:v>
                </c:pt>
                <c:pt idx="1577">
                  <c:v>3.8213836276408508</c:v>
                </c:pt>
                <c:pt idx="1578">
                  <c:v>3.8117565246060381</c:v>
                </c:pt>
                <c:pt idx="1579">
                  <c:v>3.8021597188748131</c:v>
                </c:pt>
                <c:pt idx="1580">
                  <c:v>3.7925930961021939</c:v>
                </c:pt>
                <c:pt idx="1581">
                  <c:v>3.7830565424463076</c:v>
                </c:pt>
                <c:pt idx="1582">
                  <c:v>3.773549944566025</c:v>
                </c:pt>
                <c:pt idx="1583">
                  <c:v>3.7640731896181938</c:v>
                </c:pt>
                <c:pt idx="1584">
                  <c:v>3.7546261652553565</c:v>
                </c:pt>
                <c:pt idx="1585">
                  <c:v>3.7452087596231278</c:v>
                </c:pt>
                <c:pt idx="1586">
                  <c:v>3.7358208613578285</c:v>
                </c:pt>
                <c:pt idx="1587">
                  <c:v>3.7264623595839694</c:v>
                </c:pt>
                <c:pt idx="1588">
                  <c:v>3.7171331439117088</c:v>
                </c:pt>
                <c:pt idx="1589">
                  <c:v>3.707833104434676</c:v>
                </c:pt>
                <c:pt idx="1590">
                  <c:v>3.6985621317273156</c:v>
                </c:pt>
                <c:pt idx="1591">
                  <c:v>3.6893201168425485</c:v>
                </c:pt>
                <c:pt idx="1592">
                  <c:v>3.6801069513094751</c:v>
                </c:pt>
                <c:pt idx="1593">
                  <c:v>3.6709225271308723</c:v>
                </c:pt>
                <c:pt idx="1594">
                  <c:v>3.6617667367809354</c:v>
                </c:pt>
                <c:pt idx="1595">
                  <c:v>3.652639473202822</c:v>
                </c:pt>
                <c:pt idx="1596">
                  <c:v>3.6435406298064454</c:v>
                </c:pt>
                <c:pt idx="1597">
                  <c:v>3.6344701004660038</c:v>
                </c:pt>
                <c:pt idx="1598">
                  <c:v>3.6254277795177643</c:v>
                </c:pt>
                <c:pt idx="1599">
                  <c:v>3.616413561757799</c:v>
                </c:pt>
                <c:pt idx="1600">
                  <c:v>3.6074273424396135</c:v>
                </c:pt>
                <c:pt idx="1601">
                  <c:v>3.5984690172718428</c:v>
                </c:pt>
                <c:pt idx="1602">
                  <c:v>3.5895384824161796</c:v>
                </c:pt>
                <c:pt idx="1603">
                  <c:v>3.5806356344849153</c:v>
                </c:pt>
                <c:pt idx="1604">
                  <c:v>3.5717603705388226</c:v>
                </c:pt>
                <c:pt idx="1605">
                  <c:v>3.5629125880849144</c:v>
                </c:pt>
                <c:pt idx="1606">
                  <c:v>3.5540921850742153</c:v>
                </c:pt>
                <c:pt idx="1607">
                  <c:v>3.5452990598996132</c:v>
                </c:pt>
                <c:pt idx="1608">
                  <c:v>3.5365331113935516</c:v>
                </c:pt>
                <c:pt idx="1609">
                  <c:v>3.5277942388260382</c:v>
                </c:pt>
                <c:pt idx="1610">
                  <c:v>3.5190823419023523</c:v>
                </c:pt>
                <c:pt idx="1611">
                  <c:v>3.5103973207609136</c:v>
                </c:pt>
                <c:pt idx="1612">
                  <c:v>3.5017390759711624</c:v>
                </c:pt>
                <c:pt idx="1613">
                  <c:v>3.4931075085315162</c:v>
                </c:pt>
                <c:pt idx="1614">
                  <c:v>3.4845025198670649</c:v>
                </c:pt>
                <c:pt idx="1615">
                  <c:v>3.4759240118276864</c:v>
                </c:pt>
                <c:pt idx="1616">
                  <c:v>3.4673718866857475</c:v>
                </c:pt>
                <c:pt idx="1617">
                  <c:v>3.4588460471342235</c:v>
                </c:pt>
                <c:pt idx="1618">
                  <c:v>3.4503463962844863</c:v>
                </c:pt>
                <c:pt idx="1619">
                  <c:v>3.4418728376643322</c:v>
                </c:pt>
                <c:pt idx="1620">
                  <c:v>3.4334252752158823</c:v>
                </c:pt>
                <c:pt idx="1621">
                  <c:v>3.4250036132936148</c:v>
                </c:pt>
                <c:pt idx="1622">
                  <c:v>3.4166077566622213</c:v>
                </c:pt>
                <c:pt idx="1623">
                  <c:v>3.4082376104947958</c:v>
                </c:pt>
                <c:pt idx="1624">
                  <c:v>3.3998930803705973</c:v>
                </c:pt>
                <c:pt idx="1625">
                  <c:v>3.3915740722733059</c:v>
                </c:pt>
                <c:pt idx="1626">
                  <c:v>3.3832804925888191</c:v>
                </c:pt>
                <c:pt idx="1627">
                  <c:v>3.3750122481034452</c:v>
                </c:pt>
                <c:pt idx="1628">
                  <c:v>3.3667692460018936</c:v>
                </c:pt>
                <c:pt idx="1629">
                  <c:v>3.3585513938652807</c:v>
                </c:pt>
                <c:pt idx="1630">
                  <c:v>3.3503585996692933</c:v>
                </c:pt>
                <c:pt idx="1631">
                  <c:v>3.342190771782211</c:v>
                </c:pt>
                <c:pt idx="1632">
                  <c:v>3.3340478189629632</c:v>
                </c:pt>
                <c:pt idx="1633">
                  <c:v>3.3259296503593125</c:v>
                </c:pt>
                <c:pt idx="1634">
                  <c:v>3.3178361755058452</c:v>
                </c:pt>
                <c:pt idx="1635">
                  <c:v>3.3097673043222096</c:v>
                </c:pt>
                <c:pt idx="1636">
                  <c:v>3.3017229471111711</c:v>
                </c:pt>
                <c:pt idx="1637">
                  <c:v>3.2937030145567423</c:v>
                </c:pt>
                <c:pt idx="1638">
                  <c:v>3.2857074177224423</c:v>
                </c:pt>
                <c:pt idx="1639">
                  <c:v>3.2777360680492671</c:v>
                </c:pt>
                <c:pt idx="1640">
                  <c:v>3.269788877354034</c:v>
                </c:pt>
                <c:pt idx="1641">
                  <c:v>3.2618657578274766</c:v>
                </c:pt>
                <c:pt idx="1642">
                  <c:v>3.253966622032455</c:v>
                </c:pt>
                <c:pt idx="1643">
                  <c:v>3.2460913829021267</c:v>
                </c:pt>
                <c:pt idx="1644">
                  <c:v>3.2382399537381557</c:v>
                </c:pt>
                <c:pt idx="1645">
                  <c:v>3.2304122482090478</c:v>
                </c:pt>
                <c:pt idx="1646">
                  <c:v>3.2226081803481721</c:v>
                </c:pt>
                <c:pt idx="1647">
                  <c:v>3.2148276645521761</c:v>
                </c:pt>
                <c:pt idx="1648">
                  <c:v>3.2070706155791298</c:v>
                </c:pt>
                <c:pt idx="1649">
                  <c:v>3.1993369485468413</c:v>
                </c:pt>
                <c:pt idx="1650">
                  <c:v>3.1916265789311158</c:v>
                </c:pt>
                <c:pt idx="1651">
                  <c:v>3.183939422563955</c:v>
                </c:pt>
                <c:pt idx="1652">
                  <c:v>3.1762753956319676</c:v>
                </c:pt>
                <c:pt idx="1653">
                  <c:v>3.1686344146745946</c:v>
                </c:pt>
                <c:pt idx="1654">
                  <c:v>3.1610163965823599</c:v>
                </c:pt>
                <c:pt idx="1655">
                  <c:v>3.1534212585952979</c:v>
                </c:pt>
                <c:pt idx="1656">
                  <c:v>3.1458489183011964</c:v>
                </c:pt>
                <c:pt idx="1657">
                  <c:v>3.1382992936339251</c:v>
                </c:pt>
                <c:pt idx="1658">
                  <c:v>3.1307723028718306</c:v>
                </c:pt>
                <c:pt idx="1659">
                  <c:v>3.1232678646360883</c:v>
                </c:pt>
                <c:pt idx="1660">
                  <c:v>3.115785897888923</c:v>
                </c:pt>
                <c:pt idx="1661">
                  <c:v>3.1083263219321582</c:v>
                </c:pt>
                <c:pt idx="1662">
                  <c:v>3.1008890564055274</c:v>
                </c:pt>
                <c:pt idx="1663">
                  <c:v>3.0934740212849481</c:v>
                </c:pt>
                <c:pt idx="1664">
                  <c:v>3.0860811368810928</c:v>
                </c:pt>
                <c:pt idx="1665">
                  <c:v>3.0787103238376745</c:v>
                </c:pt>
                <c:pt idx="1666">
                  <c:v>3.0713615031299</c:v>
                </c:pt>
                <c:pt idx="1667">
                  <c:v>3.0640345960628474</c:v>
                </c:pt>
                <c:pt idx="1668">
                  <c:v>3.0567295242699299</c:v>
                </c:pt>
                <c:pt idx="1669">
                  <c:v>3.0494462097113808</c:v>
                </c:pt>
                <c:pt idx="1670">
                  <c:v>3.0421845746725715</c:v>
                </c:pt>
                <c:pt idx="1671">
                  <c:v>3.0349445417625267</c:v>
                </c:pt>
                <c:pt idx="1672">
                  <c:v>3.0277260339124781</c:v>
                </c:pt>
                <c:pt idx="1673">
                  <c:v>3.0205289743741224</c:v>
                </c:pt>
                <c:pt idx="1674">
                  <c:v>3.0133532867183099</c:v>
                </c:pt>
                <c:pt idx="1675">
                  <c:v>3.0061988948334228</c:v>
                </c:pt>
                <c:pt idx="1676">
                  <c:v>2.9990657229238646</c:v>
                </c:pt>
                <c:pt idx="1677">
                  <c:v>2.9919536955085917</c:v>
                </c:pt>
                <c:pt idx="1678">
                  <c:v>2.9848627374196077</c:v>
                </c:pt>
                <c:pt idx="1679">
                  <c:v>2.9777927738005174</c:v>
                </c:pt>
                <c:pt idx="1680">
                  <c:v>2.9707437301049908</c:v>
                </c:pt>
                <c:pt idx="1681">
                  <c:v>2.9637155320953164</c:v>
                </c:pt>
                <c:pt idx="1682">
                  <c:v>2.9567081058409888</c:v>
                </c:pt>
                <c:pt idx="1683">
                  <c:v>2.9497213777171623</c:v>
                </c:pt>
                <c:pt idx="1684">
                  <c:v>2.9427552744033254</c:v>
                </c:pt>
                <c:pt idx="1685">
                  <c:v>2.9358097228817668</c:v>
                </c:pt>
                <c:pt idx="1686">
                  <c:v>2.9288846504362045</c:v>
                </c:pt>
                <c:pt idx="1687">
                  <c:v>2.921979984650287</c:v>
                </c:pt>
                <c:pt idx="1688">
                  <c:v>2.9150956534063215</c:v>
                </c:pt>
                <c:pt idx="1689">
                  <c:v>2.9082315848837119</c:v>
                </c:pt>
                <c:pt idx="1690">
                  <c:v>2.901387707557685</c:v>
                </c:pt>
                <c:pt idx="1691">
                  <c:v>2.8945639501978024</c:v>
                </c:pt>
                <c:pt idx="1692">
                  <c:v>2.8877602418666206</c:v>
                </c:pt>
                <c:pt idx="1693">
                  <c:v>2.8809765119183268</c:v>
                </c:pt>
                <c:pt idx="1694">
                  <c:v>2.8742126899973641</c:v>
                </c:pt>
                <c:pt idx="1695">
                  <c:v>2.8674687060370734</c:v>
                </c:pt>
                <c:pt idx="1696">
                  <c:v>2.8607444902582757</c:v>
                </c:pt>
                <c:pt idx="1697">
                  <c:v>2.8540399731679948</c:v>
                </c:pt>
                <c:pt idx="1698">
                  <c:v>2.8473550855581284</c:v>
                </c:pt>
                <c:pt idx="1699">
                  <c:v>2.8406897585040691</c:v>
                </c:pt>
                <c:pt idx="1700">
                  <c:v>2.8340439233633559</c:v>
                </c:pt>
                <c:pt idx="1701">
                  <c:v>2.8274175117744482</c:v>
                </c:pt>
                <c:pt idx="1702">
                  <c:v>2.8208104556552853</c:v>
                </c:pt>
                <c:pt idx="1703">
                  <c:v>2.8142226872021285</c:v>
                </c:pt>
                <c:pt idx="1704">
                  <c:v>2.8076541388881431</c:v>
                </c:pt>
                <c:pt idx="1705">
                  <c:v>2.8011047434621394</c:v>
                </c:pt>
                <c:pt idx="1706">
                  <c:v>2.7945744339473064</c:v>
                </c:pt>
                <c:pt idx="1707">
                  <c:v>2.7880631436399228</c:v>
                </c:pt>
                <c:pt idx="1708">
                  <c:v>2.7815708061081144</c:v>
                </c:pt>
                <c:pt idx="1709">
                  <c:v>2.7750973551905265</c:v>
                </c:pt>
                <c:pt idx="1710">
                  <c:v>2.7686427249950665</c:v>
                </c:pt>
                <c:pt idx="1711">
                  <c:v>2.7622068498977863</c:v>
                </c:pt>
                <c:pt idx="1712">
                  <c:v>2.7557896645414264</c:v>
                </c:pt>
                <c:pt idx="1713">
                  <c:v>2.7493911038343439</c:v>
                </c:pt>
                <c:pt idx="1714">
                  <c:v>2.7430111029492124</c:v>
                </c:pt>
                <c:pt idx="1715">
                  <c:v>2.7366495973218172</c:v>
                </c:pt>
                <c:pt idx="1716">
                  <c:v>2.7303065226497636</c:v>
                </c:pt>
                <c:pt idx="1717">
                  <c:v>2.7239818148914301</c:v>
                </c:pt>
                <c:pt idx="1718">
                  <c:v>2.7176754102645315</c:v>
                </c:pt>
                <c:pt idx="1719">
                  <c:v>2.7113872452451417</c:v>
                </c:pt>
                <c:pt idx="1720">
                  <c:v>2.7051172565663766</c:v>
                </c:pt>
                <c:pt idx="1721">
                  <c:v>2.6988653812171561</c:v>
                </c:pt>
                <c:pt idx="1722">
                  <c:v>2.6926315564412069</c:v>
                </c:pt>
                <c:pt idx="1723">
                  <c:v>2.686415719735701</c:v>
                </c:pt>
                <c:pt idx="1724">
                  <c:v>2.6802178088501818</c:v>
                </c:pt>
                <c:pt idx="1725">
                  <c:v>2.6740377617853683</c:v>
                </c:pt>
                <c:pt idx="1726">
                  <c:v>2.6678755167920198</c:v>
                </c:pt>
                <c:pt idx="1727">
                  <c:v>2.6617310123697555</c:v>
                </c:pt>
                <c:pt idx="1728">
                  <c:v>2.6556041872659364</c:v>
                </c:pt>
                <c:pt idx="1729">
                  <c:v>2.6494949804745329</c:v>
                </c:pt>
                <c:pt idx="1730">
                  <c:v>2.6434033312349245</c:v>
                </c:pt>
                <c:pt idx="1731">
                  <c:v>2.6373291790308682</c:v>
                </c:pt>
                <c:pt idx="1732">
                  <c:v>2.631272463589279</c:v>
                </c:pt>
                <c:pt idx="1733">
                  <c:v>2.625233124879228</c:v>
                </c:pt>
                <c:pt idx="1734">
                  <c:v>2.6192111031106911</c:v>
                </c:pt>
                <c:pt idx="1735">
                  <c:v>2.6132063387335696</c:v>
                </c:pt>
                <c:pt idx="1736">
                  <c:v>2.6072187724364957</c:v>
                </c:pt>
                <c:pt idx="1737">
                  <c:v>2.6012483451458706</c:v>
                </c:pt>
                <c:pt idx="1738">
                  <c:v>2.5952949980245683</c:v>
                </c:pt>
                <c:pt idx="1739">
                  <c:v>2.5893586724710724</c:v>
                </c:pt>
                <c:pt idx="1740">
                  <c:v>2.5834393101182465</c:v>
                </c:pt>
                <c:pt idx="1741">
                  <c:v>2.5775368528323686</c:v>
                </c:pt>
                <c:pt idx="1742">
                  <c:v>2.5716512427119347</c:v>
                </c:pt>
                <c:pt idx="1743">
                  <c:v>2.5657824220867718</c:v>
                </c:pt>
                <c:pt idx="1744">
                  <c:v>2.559930333516808</c:v>
                </c:pt>
                <c:pt idx="1745">
                  <c:v>2.5540949197911744</c:v>
                </c:pt>
                <c:pt idx="1746">
                  <c:v>2.5482761239270175</c:v>
                </c:pt>
                <c:pt idx="1747">
                  <c:v>2.5424738891685812</c:v>
                </c:pt>
                <c:pt idx="1748">
                  <c:v>2.536688158986145</c:v>
                </c:pt>
                <c:pt idx="1749">
                  <c:v>2.5309188770749476</c:v>
                </c:pt>
                <c:pt idx="1750">
                  <c:v>2.5251659873541987</c:v>
                </c:pt>
                <c:pt idx="1751">
                  <c:v>2.5194294339660619</c:v>
                </c:pt>
                <c:pt idx="1752">
                  <c:v>2.5137091612745937</c:v>
                </c:pt>
                <c:pt idx="1753">
                  <c:v>2.5080051138648742</c:v>
                </c:pt>
                <c:pt idx="1754">
                  <c:v>2.5023172365418236</c:v>
                </c:pt>
                <c:pt idx="1755">
                  <c:v>2.4966454743293296</c:v>
                </c:pt>
                <c:pt idx="1756">
                  <c:v>2.4909897724692214</c:v>
                </c:pt>
                <c:pt idx="1757">
                  <c:v>2.4853500764202749</c:v>
                </c:pt>
                <c:pt idx="1758">
                  <c:v>2.4797263318572083</c:v>
                </c:pt>
                <c:pt idx="1759">
                  <c:v>2.4741184846697823</c:v>
                </c:pt>
                <c:pt idx="1760">
                  <c:v>2.468526480961756</c:v>
                </c:pt>
                <c:pt idx="1761">
                  <c:v>2.4629502670499321</c:v>
                </c:pt>
                <c:pt idx="1762">
                  <c:v>2.4573897894632197</c:v>
                </c:pt>
                <c:pt idx="1763">
                  <c:v>2.4518449949416374</c:v>
                </c:pt>
                <c:pt idx="1764">
                  <c:v>2.446315830435438</c:v>
                </c:pt>
                <c:pt idx="1765">
                  <c:v>2.4408022431040721</c:v>
                </c:pt>
                <c:pt idx="1766">
                  <c:v>2.4353041803152742</c:v>
                </c:pt>
                <c:pt idx="1767">
                  <c:v>2.4298215896441699</c:v>
                </c:pt>
                <c:pt idx="1768">
                  <c:v>2.4243544188722876</c:v>
                </c:pt>
                <c:pt idx="1769">
                  <c:v>2.418902615986624</c:v>
                </c:pt>
                <c:pt idx="1770">
                  <c:v>2.4134661291787922</c:v>
                </c:pt>
                <c:pt idx="1771">
                  <c:v>2.4080449068440495</c:v>
                </c:pt>
                <c:pt idx="1772">
                  <c:v>2.4026388975803363</c:v>
                </c:pt>
                <c:pt idx="1773">
                  <c:v>2.3972480501874993</c:v>
                </c:pt>
                <c:pt idx="1774">
                  <c:v>2.3918723136662332</c:v>
                </c:pt>
                <c:pt idx="1775">
                  <c:v>2.3865116372173221</c:v>
                </c:pt>
                <c:pt idx="1776">
                  <c:v>2.3811659702406169</c:v>
                </c:pt>
                <c:pt idx="1777">
                  <c:v>2.3758352623342351</c:v>
                </c:pt>
                <c:pt idx="1778">
                  <c:v>2.3705194632936277</c:v>
                </c:pt>
                <c:pt idx="1779">
                  <c:v>2.3652185231106997</c:v>
                </c:pt>
                <c:pt idx="1780">
                  <c:v>2.3599323919729822</c:v>
                </c:pt>
                <c:pt idx="1781">
                  <c:v>2.354661020262685</c:v>
                </c:pt>
                <c:pt idx="1782">
                  <c:v>2.3494043585558622</c:v>
                </c:pt>
                <c:pt idx="1783">
                  <c:v>2.3441623576215607</c:v>
                </c:pt>
                <c:pt idx="1784">
                  <c:v>2.3389349684209262</c:v>
                </c:pt>
                <c:pt idx="1785">
                  <c:v>2.3337221421063732</c:v>
                </c:pt>
                <c:pt idx="1786">
                  <c:v>2.3285238300207203</c:v>
                </c:pt>
                <c:pt idx="1787">
                  <c:v>2.3233399836963584</c:v>
                </c:pt>
                <c:pt idx="1788">
                  <c:v>2.3181705548544023</c:v>
                </c:pt>
                <c:pt idx="1789">
                  <c:v>2.3130154954038149</c:v>
                </c:pt>
                <c:pt idx="1790">
                  <c:v>2.3078747574406222</c:v>
                </c:pt>
                <c:pt idx="1791">
                  <c:v>2.3027482932470686</c:v>
                </c:pt>
                <c:pt idx="1792">
                  <c:v>2.2976360552907669</c:v>
                </c:pt>
                <c:pt idx="1793">
                  <c:v>2.2925379962238921</c:v>
                </c:pt>
                <c:pt idx="1794">
                  <c:v>2.2874540688823992</c:v>
                </c:pt>
                <c:pt idx="1795">
                  <c:v>2.2823842262851306</c:v>
                </c:pt>
                <c:pt idx="1796">
                  <c:v>2.2773284216330478</c:v>
                </c:pt>
                <c:pt idx="1797">
                  <c:v>2.2722866083084559</c:v>
                </c:pt>
                <c:pt idx="1798">
                  <c:v>2.2672587398741464</c:v>
                </c:pt>
                <c:pt idx="1799">
                  <c:v>2.2622447700726331</c:v>
                </c:pt>
                <c:pt idx="1800">
                  <c:v>2.257244652825356</c:v>
                </c:pt>
                <c:pt idx="1801">
                  <c:v>2.2522583422318574</c:v>
                </c:pt>
                <c:pt idx="1802">
                  <c:v>2.2472857925690461</c:v>
                </c:pt>
                <c:pt idx="1803">
                  <c:v>2.2423269582903584</c:v>
                </c:pt>
                <c:pt idx="1804">
                  <c:v>2.2373817940250582</c:v>
                </c:pt>
                <c:pt idx="1805">
                  <c:v>2.2324502545773539</c:v>
                </c:pt>
                <c:pt idx="1806">
                  <c:v>2.2275322949257377</c:v>
                </c:pt>
                <c:pt idx="1807">
                  <c:v>2.2226278702221509</c:v>
                </c:pt>
                <c:pt idx="1808">
                  <c:v>2.2177369357912244</c:v>
                </c:pt>
                <c:pt idx="1809">
                  <c:v>2.2128594471295373</c:v>
                </c:pt>
                <c:pt idx="1810">
                  <c:v>2.2079953599048667</c:v>
                </c:pt>
                <c:pt idx="1811">
                  <c:v>2.2031446299554376</c:v>
                </c:pt>
                <c:pt idx="1812">
                  <c:v>2.1983072132891226</c:v>
                </c:pt>
                <c:pt idx="1813">
                  <c:v>2.1934830660827558</c:v>
                </c:pt>
                <c:pt idx="1814">
                  <c:v>2.1886721446813944</c:v>
                </c:pt>
                <c:pt idx="1815">
                  <c:v>2.1838744055975328</c:v>
                </c:pt>
                <c:pt idx="1816">
                  <c:v>2.1790898055103876</c:v>
                </c:pt>
                <c:pt idx="1817">
                  <c:v>2.1743183012652048</c:v>
                </c:pt>
                <c:pt idx="1818">
                  <c:v>2.169559849872472</c:v>
                </c:pt>
                <c:pt idx="1819">
                  <c:v>2.1648144085072598</c:v>
                </c:pt>
                <c:pt idx="1820">
                  <c:v>2.1600819345084314</c:v>
                </c:pt>
                <c:pt idx="1821">
                  <c:v>2.1553623853780066</c:v>
                </c:pt>
                <c:pt idx="1822">
                  <c:v>2.150655718780385</c:v>
                </c:pt>
                <c:pt idx="1823">
                  <c:v>2.1459618925416439</c:v>
                </c:pt>
                <c:pt idx="1824">
                  <c:v>2.1412808646488677</c:v>
                </c:pt>
                <c:pt idx="1825">
                  <c:v>2.136612593249442</c:v>
                </c:pt>
                <c:pt idx="1826">
                  <c:v>2.1319570366503244</c:v>
                </c:pt>
                <c:pt idx="1827">
                  <c:v>2.1273141533173341</c:v>
                </c:pt>
                <c:pt idx="1828">
                  <c:v>2.1226839018745598</c:v>
                </c:pt>
                <c:pt idx="1829">
                  <c:v>2.1180662411035356</c:v>
                </c:pt>
                <c:pt idx="1830">
                  <c:v>2.1134611299426584</c:v>
                </c:pt>
                <c:pt idx="1831">
                  <c:v>2.1088685274864769</c:v>
                </c:pt>
                <c:pt idx="1832">
                  <c:v>2.1042883929849761</c:v>
                </c:pt>
                <c:pt idx="1833">
                  <c:v>2.0997206858429882</c:v>
                </c:pt>
                <c:pt idx="1834">
                  <c:v>2.0951653656193878</c:v>
                </c:pt>
                <c:pt idx="1835">
                  <c:v>2.0906223920265972</c:v>
                </c:pt>
                <c:pt idx="1836">
                  <c:v>2.0860917249297097</c:v>
                </c:pt>
                <c:pt idx="1837">
                  <c:v>2.0815733243460852</c:v>
                </c:pt>
                <c:pt idx="1838">
                  <c:v>2.077067150444424</c:v>
                </c:pt>
                <c:pt idx="1839">
                  <c:v>2.0725731635443165</c:v>
                </c:pt>
                <c:pt idx="1840">
                  <c:v>2.0680913241154895</c:v>
                </c:pt>
                <c:pt idx="1841">
                  <c:v>2.0636215927771779</c:v>
                </c:pt>
                <c:pt idx="1842">
                  <c:v>2.0591639302974758</c:v>
                </c:pt>
                <c:pt idx="1843">
                  <c:v>2.0547182975926876</c:v>
                </c:pt>
                <c:pt idx="1844">
                  <c:v>2.0502846557267649</c:v>
                </c:pt>
                <c:pt idx="1845">
                  <c:v>2.0458629659105405</c:v>
                </c:pt>
                <c:pt idx="1846">
                  <c:v>2.0414531895011727</c:v>
                </c:pt>
                <c:pt idx="1847">
                  <c:v>2.0370552880015</c:v>
                </c:pt>
                <c:pt idx="1848">
                  <c:v>2.0326692230594405</c:v>
                </c:pt>
                <c:pt idx="1849">
                  <c:v>2.0282949564673234</c:v>
                </c:pt>
                <c:pt idx="1850">
                  <c:v>2.0239324501612876</c:v>
                </c:pt>
                <c:pt idx="1851">
                  <c:v>2.0195816662206574</c:v>
                </c:pt>
                <c:pt idx="1852">
                  <c:v>2.015242566867347</c:v>
                </c:pt>
                <c:pt idx="1853">
                  <c:v>2.0109151144652135</c:v>
                </c:pt>
                <c:pt idx="1854">
                  <c:v>2.0065992715195056</c:v>
                </c:pt>
                <c:pt idx="1855">
                  <c:v>2.0022950006761757</c:v>
                </c:pt>
                <c:pt idx="1856">
                  <c:v>1.9980022647213536</c:v>
                </c:pt>
                <c:pt idx="1857">
                  <c:v>1.9937210265806877</c:v>
                </c:pt>
                <c:pt idx="1858">
                  <c:v>1.9894512493187886</c:v>
                </c:pt>
                <c:pt idx="1859">
                  <c:v>1.9851928961386143</c:v>
                </c:pt>
                <c:pt idx="1860">
                  <c:v>1.9809459303808818</c:v>
                </c:pt>
                <c:pt idx="1861">
                  <c:v>1.9767103155234667</c:v>
                </c:pt>
                <c:pt idx="1862">
                  <c:v>1.9724860151808452</c:v>
                </c:pt>
                <c:pt idx="1863">
                  <c:v>1.9682729931034681</c:v>
                </c:pt>
                <c:pt idx="1864">
                  <c:v>1.9640712131772635</c:v>
                </c:pt>
                <c:pt idx="1865">
                  <c:v>1.9598806394229222</c:v>
                </c:pt>
                <c:pt idx="1866">
                  <c:v>1.955701235995468</c:v>
                </c:pt>
                <c:pt idx="1867">
                  <c:v>1.9515329671835804</c:v>
                </c:pt>
                <c:pt idx="1868">
                  <c:v>1.9473757974090784</c:v>
                </c:pt>
                <c:pt idx="1869">
                  <c:v>1.9432296912263385</c:v>
                </c:pt>
                <c:pt idx="1870">
                  <c:v>1.939094613321714</c:v>
                </c:pt>
                <c:pt idx="1871">
                  <c:v>1.9349705285130314</c:v>
                </c:pt>
                <c:pt idx="1872">
                  <c:v>1.9308574017489308</c:v>
                </c:pt>
                <c:pt idx="1873">
                  <c:v>1.9267551981084408</c:v>
                </c:pt>
                <c:pt idx="1874">
                  <c:v>1.9226638828002869</c:v>
                </c:pt>
                <c:pt idx="1875">
                  <c:v>1.9185834211624468</c:v>
                </c:pt>
                <c:pt idx="1876">
                  <c:v>1.9145137786615662</c:v>
                </c:pt>
                <c:pt idx="1877">
                  <c:v>1.910454920892378</c:v>
                </c:pt>
                <c:pt idx="1878">
                  <c:v>1.9064068135772241</c:v>
                </c:pt>
                <c:pt idx="1879">
                  <c:v>1.9023694225654759</c:v>
                </c:pt>
                <c:pt idx="1880">
                  <c:v>1.8983427138329878</c:v>
                </c:pt>
                <c:pt idx="1881">
                  <c:v>1.8943266534815766</c:v>
                </c:pt>
                <c:pt idx="1882">
                  <c:v>1.8903212077385316</c:v>
                </c:pt>
                <c:pt idx="1883">
                  <c:v>1.8863263429559936</c:v>
                </c:pt>
                <c:pt idx="1884">
                  <c:v>1.8823420256104773</c:v>
                </c:pt>
                <c:pt idx="1885">
                  <c:v>1.8783682223024067</c:v>
                </c:pt>
                <c:pt idx="1886">
                  <c:v>1.8744048997554468</c:v>
                </c:pt>
                <c:pt idx="1887">
                  <c:v>1.8704520248161214</c:v>
                </c:pt>
                <c:pt idx="1888">
                  <c:v>1.8665095644532368</c:v>
                </c:pt>
                <c:pt idx="1889">
                  <c:v>1.8625774857573358</c:v>
                </c:pt>
                <c:pt idx="1890">
                  <c:v>1.8586557559402663</c:v>
                </c:pt>
                <c:pt idx="1891">
                  <c:v>1.8547443423346135</c:v>
                </c:pt>
                <c:pt idx="1892">
                  <c:v>1.8508432123931773</c:v>
                </c:pt>
                <c:pt idx="1893">
                  <c:v>1.846952333688531</c:v>
                </c:pt>
                <c:pt idx="1894">
                  <c:v>1.8430716739124307</c:v>
                </c:pt>
                <c:pt idx="1895">
                  <c:v>1.8392012008754179</c:v>
                </c:pt>
                <c:pt idx="1896">
                  <c:v>1.8353408825062407</c:v>
                </c:pt>
                <c:pt idx="1897">
                  <c:v>1.8314906868513861</c:v>
                </c:pt>
                <c:pt idx="1898">
                  <c:v>1.827650582074575</c:v>
                </c:pt>
                <c:pt idx="1899">
                  <c:v>1.8238205364562892</c:v>
                </c:pt>
                <c:pt idx="1900">
                  <c:v>1.820000518393295</c:v>
                </c:pt>
                <c:pt idx="1901">
                  <c:v>1.8161904963981086</c:v>
                </c:pt>
                <c:pt idx="1902">
                  <c:v>1.8123904390985368</c:v>
                </c:pt>
                <c:pt idx="1903">
                  <c:v>1.8086003152372014</c:v>
                </c:pt>
                <c:pt idx="1904">
                  <c:v>1.8048200936710608</c:v>
                </c:pt>
                <c:pt idx="1905">
                  <c:v>1.8010497433709172</c:v>
                </c:pt>
                <c:pt idx="1906">
                  <c:v>1.7972892334209507</c:v>
                </c:pt>
                <c:pt idx="1907">
                  <c:v>1.7935385330182441</c:v>
                </c:pt>
                <c:pt idx="1908">
                  <c:v>1.7897976114723324</c:v>
                </c:pt>
                <c:pt idx="1909">
                  <c:v>1.7860664382046758</c:v>
                </c:pt>
                <c:pt idx="1910">
                  <c:v>1.7823449827482534</c:v>
                </c:pt>
                <c:pt idx="1911">
                  <c:v>1.7786332147470945</c:v>
                </c:pt>
                <c:pt idx="1912">
                  <c:v>1.7749311039557503</c:v>
                </c:pt>
                <c:pt idx="1913">
                  <c:v>1.7712386202389361</c:v>
                </c:pt>
                <c:pt idx="1914">
                  <c:v>1.7675557335709959</c:v>
                </c:pt>
                <c:pt idx="1915">
                  <c:v>1.7638824140354443</c:v>
                </c:pt>
                <c:pt idx="1916">
                  <c:v>1.760218631824592</c:v>
                </c:pt>
                <c:pt idx="1917">
                  <c:v>1.7565643572389933</c:v>
                </c:pt>
                <c:pt idx="1918">
                  <c:v>1.7529195606870809</c:v>
                </c:pt>
                <c:pt idx="1919">
                  <c:v>1.7492842126846626</c:v>
                </c:pt>
                <c:pt idx="1920">
                  <c:v>1.7456582838545018</c:v>
                </c:pt>
                <c:pt idx="1921">
                  <c:v>1.7420417449258596</c:v>
                </c:pt>
                <c:pt idx="1922">
                  <c:v>1.7384345667340653</c:v>
                </c:pt>
                <c:pt idx="1923">
                  <c:v>1.7348367202201083</c:v>
                </c:pt>
                <c:pt idx="1924">
                  <c:v>1.7312481764300931</c:v>
                </c:pt>
                <c:pt idx="1925">
                  <c:v>1.7276689065149748</c:v>
                </c:pt>
                <c:pt idx="1926">
                  <c:v>1.7240988817299352</c:v>
                </c:pt>
                <c:pt idx="1927">
                  <c:v>1.7205380734341087</c:v>
                </c:pt>
                <c:pt idx="1928">
                  <c:v>1.7169864530900845</c:v>
                </c:pt>
                <c:pt idx="1929">
                  <c:v>1.7134439922634612</c:v>
                </c:pt>
                <c:pt idx="1930">
                  <c:v>1.709910662622478</c:v>
                </c:pt>
                <c:pt idx="1931">
                  <c:v>1.7063864359375169</c:v>
                </c:pt>
                <c:pt idx="1932">
                  <c:v>1.7028712840807785</c:v>
                </c:pt>
                <c:pt idx="1933">
                  <c:v>1.6993651790257835</c:v>
                </c:pt>
                <c:pt idx="1934">
                  <c:v>1.6958680928469867</c:v>
                </c:pt>
                <c:pt idx="1935">
                  <c:v>1.6923799977193597</c:v>
                </c:pt>
                <c:pt idx="1936">
                  <c:v>1.688900865917949</c:v>
                </c:pt>
                <c:pt idx="1937">
                  <c:v>1.6854306698175414</c:v>
                </c:pt>
                <c:pt idx="1938">
                  <c:v>1.6819693818921533</c:v>
                </c:pt>
                <c:pt idx="1939">
                  <c:v>1.6785169747147159</c:v>
                </c:pt>
                <c:pt idx="1940">
                  <c:v>1.6750734209566214</c:v>
                </c:pt>
                <c:pt idx="1941">
                  <c:v>1.6716386933872776</c:v>
                </c:pt>
                <c:pt idx="1942">
                  <c:v>1.6682127648738152</c:v>
                </c:pt>
                <c:pt idx="1943">
                  <c:v>1.6647956083806112</c:v>
                </c:pt>
                <c:pt idx="1944">
                  <c:v>1.6613871969688723</c:v>
                </c:pt>
                <c:pt idx="1945">
                  <c:v>1.6579875037963041</c:v>
                </c:pt>
                <c:pt idx="1946">
                  <c:v>1.6545965021166862</c:v>
                </c:pt>
                <c:pt idx="1947">
                  <c:v>1.6512141652794621</c:v>
                </c:pt>
                <c:pt idx="1948">
                  <c:v>1.6478404667293736</c:v>
                </c:pt>
                <c:pt idx="1949">
                  <c:v>1.6444753800060516</c:v>
                </c:pt>
                <c:pt idx="1950">
                  <c:v>1.6411188787436468</c:v>
                </c:pt>
                <c:pt idx="1951">
                  <c:v>1.63777093667044</c:v>
                </c:pt>
                <c:pt idx="1952">
                  <c:v>1.6344315276084471</c:v>
                </c:pt>
                <c:pt idx="1953">
                  <c:v>1.6311006254730593</c:v>
                </c:pt>
                <c:pt idx="1954">
                  <c:v>1.6277782042726134</c:v>
                </c:pt>
                <c:pt idx="1955">
                  <c:v>1.6244642381080765</c:v>
                </c:pt>
                <c:pt idx="1956">
                  <c:v>1.6211587011726487</c:v>
                </c:pt>
                <c:pt idx="1957">
                  <c:v>1.6178615677513499</c:v>
                </c:pt>
                <c:pt idx="1958">
                  <c:v>1.6145728122206986</c:v>
                </c:pt>
                <c:pt idx="1959">
                  <c:v>1.6112924090483143</c:v>
                </c:pt>
                <c:pt idx="1960">
                  <c:v>1.6080203327925462</c:v>
                </c:pt>
                <c:pt idx="1961">
                  <c:v>1.6047565581020942</c:v>
                </c:pt>
                <c:pt idx="1962">
                  <c:v>1.6015010597156913</c:v>
                </c:pt>
                <c:pt idx="1963">
                  <c:v>1.5982538124616767</c:v>
                </c:pt>
                <c:pt idx="1964">
                  <c:v>1.5950147912576804</c:v>
                </c:pt>
                <c:pt idx="1965">
                  <c:v>1.5917839711102388</c:v>
                </c:pt>
                <c:pt idx="1966">
                  <c:v>1.5885613271144217</c:v>
                </c:pt>
                <c:pt idx="1967">
                  <c:v>1.585346834453498</c:v>
                </c:pt>
                <c:pt idx="1968">
                  <c:v>1.582140468398592</c:v>
                </c:pt>
                <c:pt idx="1969">
                  <c:v>1.5789422043082797</c:v>
                </c:pt>
                <c:pt idx="1970">
                  <c:v>1.5757520176282667</c:v>
                </c:pt>
                <c:pt idx="1971">
                  <c:v>1.572569883891036</c:v>
                </c:pt>
                <c:pt idx="1972">
                  <c:v>1.5693957787155111</c:v>
                </c:pt>
                <c:pt idx="1973">
                  <c:v>1.566229677806676</c:v>
                </c:pt>
                <c:pt idx="1974">
                  <c:v>1.5630715569552363</c:v>
                </c:pt>
                <c:pt idx="1975">
                  <c:v>1.5599213920372796</c:v>
                </c:pt>
                <c:pt idx="1976">
                  <c:v>1.5567791590139539</c:v>
                </c:pt>
                <c:pt idx="1977">
                  <c:v>1.5536448339310873</c:v>
                </c:pt>
                <c:pt idx="1978">
                  <c:v>1.5505183929188708</c:v>
                </c:pt>
                <c:pt idx="1979">
                  <c:v>1.547399812191472</c:v>
                </c:pt>
                <c:pt idx="1980">
                  <c:v>1.5442890680468093</c:v>
                </c:pt>
                <c:pt idx="1981">
                  <c:v>1.5411861368660815</c:v>
                </c:pt>
                <c:pt idx="1982">
                  <c:v>1.5380909951135115</c:v>
                </c:pt>
                <c:pt idx="1983">
                  <c:v>1.5350036193360133</c:v>
                </c:pt>
                <c:pt idx="1984">
                  <c:v>1.5319239861628371</c:v>
                </c:pt>
                <c:pt idx="1985">
                  <c:v>1.5288520723052073</c:v>
                </c:pt>
                <c:pt idx="1986">
                  <c:v>1.5257878545560843</c:v>
                </c:pt>
                <c:pt idx="1987">
                  <c:v>1.5227313097897699</c:v>
                </c:pt>
                <c:pt idx="1988">
                  <c:v>1.5196824149615684</c:v>
                </c:pt>
                <c:pt idx="1989">
                  <c:v>1.5166411471075205</c:v>
                </c:pt>
                <c:pt idx="1990">
                  <c:v>1.5136074833440334</c:v>
                </c:pt>
                <c:pt idx="1991">
                  <c:v>1.5105814008675824</c:v>
                </c:pt>
                <c:pt idx="1992">
                  <c:v>1.5075628769543827</c:v>
                </c:pt>
                <c:pt idx="1993">
                  <c:v>1.5045518889600904</c:v>
                </c:pt>
                <c:pt idx="1994">
                  <c:v>1.5015484143194155</c:v>
                </c:pt>
                <c:pt idx="1995">
                  <c:v>1.4985524305459175</c:v>
                </c:pt>
                <c:pt idx="1996">
                  <c:v>1.4955639152315958</c:v>
                </c:pt>
                <c:pt idx="1997">
                  <c:v>1.4925828460466311</c:v>
                </c:pt>
                <c:pt idx="1998">
                  <c:v>1.4896092007390596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18-488C-97F0-C20B05DACD45}"/>
            </c:ext>
          </c:extLst>
        </c:ser>
        <c:ser>
          <c:idx val="4"/>
          <c:order val="1"/>
          <c:spPr>
            <a:ln w="12700">
              <a:solidFill>
                <a:srgbClr val="70AD47">
                  <a:lumMod val="50000"/>
                </a:srgbClr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B05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52AF-47C9-815E-331901F8F5C8}"/>
              </c:ext>
            </c:extLst>
          </c:dPt>
          <c:xVal>
            <c:numRef>
              <c:f>Mainsheet!$P$13:$P$14</c:f>
              <c:numCache>
                <c:formatCode>General</c:formatCode>
                <c:ptCount val="2"/>
                <c:pt idx="0">
                  <c:v>65</c:v>
                </c:pt>
                <c:pt idx="1">
                  <c:v>65</c:v>
                </c:pt>
              </c:numCache>
            </c:numRef>
          </c:xVal>
          <c:yVal>
            <c:numRef>
              <c:f>Mainsheet!$J$8:$J$9</c:f>
              <c:numCache>
                <c:formatCode>General</c:formatCode>
                <c:ptCount val="2"/>
                <c:pt idx="0" formatCode="0.00E+00">
                  <c:v>10000000000</c:v>
                </c:pt>
                <c:pt idx="1">
                  <c:v>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418-488C-97F0-C20B05DACD45}"/>
            </c:ext>
          </c:extLst>
        </c:ser>
        <c:ser>
          <c:idx val="3"/>
          <c:order val="2"/>
          <c:spPr>
            <a:ln w="12700">
              <a:solidFill>
                <a:srgbClr val="FF0066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FF0066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440C-46DC-9682-EF232053F471}"/>
              </c:ext>
            </c:extLst>
          </c:dPt>
          <c:xVal>
            <c:numRef>
              <c:f>Mainsheet!$P$11:$P$12</c:f>
              <c:numCache>
                <c:formatCode>General</c:formatCode>
                <c:ptCount val="2"/>
                <c:pt idx="0">
                  <c:v>31</c:v>
                </c:pt>
                <c:pt idx="1">
                  <c:v>31</c:v>
                </c:pt>
              </c:numCache>
            </c:numRef>
          </c:xVal>
          <c:yVal>
            <c:numRef>
              <c:f>Mainsheet!$F$8:$F$9</c:f>
              <c:numCache>
                <c:formatCode>General</c:formatCode>
                <c:ptCount val="2"/>
                <c:pt idx="0" formatCode="0.00E+00">
                  <c:v>10000000000</c:v>
                </c:pt>
                <c:pt idx="1">
                  <c:v>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418-488C-97F0-C20B05DACD45}"/>
            </c:ext>
          </c:extLst>
        </c:ser>
        <c:ser>
          <c:idx val="1"/>
          <c:order val="3"/>
          <c:tx>
            <c:v>violet</c:v>
          </c:tx>
          <c:spPr>
            <a:ln w="7620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Mainsheet!$D$31:$D$32</c:f>
              <c:numCache>
                <c:formatCode>General</c:formatCode>
                <c:ptCount val="2"/>
                <c:pt idx="0">
                  <c:v>0.4</c:v>
                </c:pt>
                <c:pt idx="1">
                  <c:v>0.4</c:v>
                </c:pt>
              </c:numCache>
            </c:numRef>
          </c:xVal>
          <c:yVal>
            <c:numRef>
              <c:f>Mainsheet!$E$31:$E$32</c:f>
              <c:numCache>
                <c:formatCode>General</c:formatCode>
                <c:ptCount val="2"/>
                <c:pt idx="0" formatCode="0.00E+00">
                  <c:v>74119904.031414405</c:v>
                </c:pt>
                <c:pt idx="1">
                  <c:v>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418-488C-97F0-C20B05DACD45}"/>
            </c:ext>
          </c:extLst>
        </c:ser>
        <c:ser>
          <c:idx val="2"/>
          <c:order val="4"/>
          <c:tx>
            <c:v>red</c:v>
          </c:tx>
          <c:spPr>
            <a:ln w="9525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Mainsheet!$F$31:$F$32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xVal>
          <c:yVal>
            <c:numRef>
              <c:f>Mainsheet!$G$31:$G$32</c:f>
              <c:numCache>
                <c:formatCode>General</c:formatCode>
                <c:ptCount val="2"/>
                <c:pt idx="0">
                  <c:v>66230657.011836559</c:v>
                </c:pt>
                <c:pt idx="1">
                  <c:v>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418-488C-97F0-C20B05DACD45}"/>
            </c:ext>
          </c:extLst>
        </c:ser>
        <c:ser>
          <c:idx val="5"/>
          <c:order val="5"/>
          <c:tx>
            <c:v>Indigo</c:v>
          </c:tx>
          <c:spPr>
            <a:ln w="111125">
              <a:solidFill>
                <a:srgbClr val="4B0082"/>
              </a:solidFill>
            </a:ln>
          </c:spPr>
          <c:marker>
            <c:symbol val="none"/>
          </c:marker>
          <c:xVal>
            <c:numRef>
              <c:f>Mainsheet!$H$31:$H$32</c:f>
              <c:numCache>
                <c:formatCode>General</c:formatCode>
                <c:ptCount val="2"/>
                <c:pt idx="0">
                  <c:v>0.44</c:v>
                </c:pt>
                <c:pt idx="1">
                  <c:v>0.44</c:v>
                </c:pt>
              </c:numCache>
            </c:numRef>
          </c:xVal>
          <c:yVal>
            <c:numRef>
              <c:f>Mainsheet!$I$31:$I$32</c:f>
              <c:numCache>
                <c:formatCode>General</c:formatCode>
                <c:ptCount val="2"/>
                <c:pt idx="0">
                  <c:v>81007538.731430426</c:v>
                </c:pt>
                <c:pt idx="1">
                  <c:v>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27C-4DD4-B8CB-873AFF5AF893}"/>
            </c:ext>
          </c:extLst>
        </c:ser>
        <c:ser>
          <c:idx val="6"/>
          <c:order val="6"/>
          <c:tx>
            <c:v>Blue</c:v>
          </c:tx>
          <c:spPr>
            <a:ln w="85725">
              <a:solidFill>
                <a:srgbClr val="0070C0"/>
              </a:solidFill>
              <a:prstDash val="solid"/>
            </a:ln>
          </c:spPr>
          <c:marker>
            <c:symbol val="none"/>
          </c:marker>
          <c:xVal>
            <c:numRef>
              <c:f>Mainsheet!$J$31:$J$32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Mainsheet!$K$31:$K$32</c:f>
              <c:numCache>
                <c:formatCode>General</c:formatCode>
                <c:ptCount val="2"/>
                <c:pt idx="0">
                  <c:v>84392656.400436878</c:v>
                </c:pt>
                <c:pt idx="1">
                  <c:v>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27C-4DD4-B8CB-873AFF5AF893}"/>
            </c:ext>
          </c:extLst>
        </c:ser>
        <c:ser>
          <c:idx val="7"/>
          <c:order val="7"/>
          <c:tx>
            <c:v>Green</c:v>
          </c:tx>
          <c:spPr>
            <a:ln w="111125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Mainsheet!$L$31:$L$32</c:f>
              <c:numCache>
                <c:formatCode>General</c:formatCode>
                <c:ptCount val="2"/>
                <c:pt idx="0">
                  <c:v>0.56999999999999995</c:v>
                </c:pt>
                <c:pt idx="1">
                  <c:v>0.56999999999999995</c:v>
                </c:pt>
              </c:numCache>
            </c:numRef>
          </c:xVal>
          <c:yVal>
            <c:numRef>
              <c:f>Mainsheet!$M$31:$M$32</c:f>
              <c:numCache>
                <c:formatCode>General</c:formatCode>
                <c:ptCount val="2"/>
                <c:pt idx="0">
                  <c:v>81097213.872604296</c:v>
                </c:pt>
                <c:pt idx="1">
                  <c:v>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27C-4DD4-B8CB-873AFF5AF893}"/>
            </c:ext>
          </c:extLst>
        </c:ser>
        <c:ser>
          <c:idx val="8"/>
          <c:order val="8"/>
          <c:tx>
            <c:v>Yellow</c:v>
          </c:tx>
          <c:spPr>
            <a:ln w="889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Mainsheet!$N$31:$N$32</c:f>
              <c:numCache>
                <c:formatCode>General</c:formatCode>
                <c:ptCount val="2"/>
                <c:pt idx="0">
                  <c:v>0.59</c:v>
                </c:pt>
                <c:pt idx="1">
                  <c:v>0.59</c:v>
                </c:pt>
              </c:numCache>
            </c:numRef>
          </c:xVal>
          <c:yVal>
            <c:numRef>
              <c:f>Mainsheet!$O$31:$O$32</c:f>
              <c:numCache>
                <c:formatCode>General</c:formatCode>
                <c:ptCount val="2"/>
                <c:pt idx="0">
                  <c:v>79268592.047915205</c:v>
                </c:pt>
                <c:pt idx="1">
                  <c:v>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27C-4DD4-B8CB-873AFF5AF893}"/>
            </c:ext>
          </c:extLst>
        </c:ser>
        <c:ser>
          <c:idx val="9"/>
          <c:order val="9"/>
          <c:tx>
            <c:v>Orange</c:v>
          </c:tx>
          <c:spPr>
            <a:ln w="92075" cap="rnd">
              <a:solidFill>
                <a:srgbClr val="FFC000"/>
              </a:solidFill>
              <a:prstDash val="solid"/>
            </a:ln>
          </c:spPr>
          <c:marker>
            <c:symbol val="none"/>
          </c:marker>
          <c:xVal>
            <c:numRef>
              <c:f>Mainsheet!$P$31:$P$32</c:f>
              <c:numCache>
                <c:formatCode>General</c:formatCode>
                <c:ptCount val="2"/>
                <c:pt idx="0">
                  <c:v>0.62</c:v>
                </c:pt>
                <c:pt idx="1">
                  <c:v>0.62</c:v>
                </c:pt>
              </c:numCache>
            </c:numRef>
          </c:xVal>
          <c:yVal>
            <c:numRef>
              <c:f>Mainsheet!$Q$31:$Q$32</c:f>
              <c:numCache>
                <c:formatCode>General</c:formatCode>
                <c:ptCount val="2"/>
                <c:pt idx="0">
                  <c:v>76077704.154450789</c:v>
                </c:pt>
                <c:pt idx="1">
                  <c:v>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27C-4DD4-B8CB-873AFF5AF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841920"/>
        <c:axId val="1"/>
      </c:scatterChart>
      <c:valAx>
        <c:axId val="543841920"/>
        <c:scaling>
          <c:logBase val="10"/>
          <c:orientation val="minMax"/>
          <c:max val="100"/>
          <c:min val="0.1"/>
        </c:scaling>
        <c:delete val="0"/>
        <c:axPos val="b"/>
        <c:majorGridlines>
          <c:spPr>
            <a:ln w="3175">
              <a:solidFill>
                <a:srgbClr val="969696"/>
              </a:solidFill>
            </a:ln>
          </c:spPr>
        </c:majorGridlines>
        <c:minorGridlines>
          <c:spPr>
            <a:ln w="3175">
              <a:solidFill>
                <a:srgbClr val="969696"/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Comic Sans MS"/>
                    <a:ea typeface="Comic Sans MS"/>
                    <a:cs typeface="Comic Sans MS"/>
                  </a:defRPr>
                </a:pPr>
                <a:r>
                  <a:rPr lang="en-IN"/>
                  <a:t>Wavelength (micrometers)</a:t>
                </a:r>
              </a:p>
            </c:rich>
          </c:tx>
          <c:layout>
            <c:manualLayout>
              <c:xMode val="edge"/>
              <c:yMode val="edge"/>
              <c:x val="0.40533980582524276"/>
              <c:y val="0.8909120569249054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Comic Sans MS"/>
                <a:ea typeface="Comic Sans MS"/>
                <a:cs typeface="Comic Sans MS"/>
              </a:defRPr>
            </a:pPr>
            <a:endParaRPr lang="en-US"/>
          </a:p>
        </c:txPr>
        <c:crossAx val="1"/>
        <c:crossesAt val="1E-4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0000000"/>
          <c:min val="1E-4"/>
        </c:scaling>
        <c:delete val="0"/>
        <c:axPos val="l"/>
        <c:majorGridlines>
          <c:spPr>
            <a:ln w="3175">
              <a:solidFill>
                <a:srgbClr val="969696"/>
              </a:solidFill>
            </a:ln>
          </c:spPr>
        </c:majorGridlines>
        <c:minorGridlines>
          <c:spPr>
            <a:ln w="3175"/>
          </c:spPr>
        </c:minorGridlines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Comic Sans MS"/>
                    <a:ea typeface="Comic Sans MS"/>
                    <a:cs typeface="Comic Sans MS"/>
                  </a:defRPr>
                </a:pPr>
                <a:r>
                  <a:rPr lang="en-IN"/>
                  <a:t>Emissive Power</a:t>
                </a:r>
              </a:p>
            </c:rich>
          </c:tx>
          <c:layout>
            <c:manualLayout>
              <c:xMode val="edge"/>
              <c:yMode val="edge"/>
              <c:x val="4.0453074433656992E-4"/>
              <c:y val="0.2818190310956892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Comic Sans MS"/>
                <a:ea typeface="Comic Sans MS"/>
                <a:cs typeface="Comic Sans MS"/>
              </a:defRPr>
            </a:pPr>
            <a:endParaRPr lang="en-US"/>
          </a:p>
        </c:txPr>
        <c:crossAx val="543841920"/>
        <c:crossesAt val="0.1"/>
        <c:crossBetween val="midCat"/>
      </c:valAx>
      <c:spPr>
        <a:solidFill>
          <a:srgbClr val="66FF99"/>
        </a:solidFill>
        <a:ln w="25400">
          <a:solidFill>
            <a:srgbClr val="FFFF00"/>
          </a:solidFill>
        </a:ln>
        <a:effectLst>
          <a:glow rad="63500">
            <a:srgbClr val="00B050">
              <a:alpha val="40000"/>
            </a:srgbClr>
          </a:glow>
        </a:effectLst>
      </c:spPr>
    </c:plotArea>
    <c:plotVisOnly val="1"/>
    <c:dispBlanksAs val="gap"/>
    <c:showDLblsOverMax val="0"/>
  </c:chart>
  <c:spPr>
    <a:solidFill>
      <a:sysClr val="window" lastClr="FFFFFF"/>
    </a:solidFill>
    <a:ln w="38100">
      <a:solidFill>
        <a:srgbClr val="FF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2"/>
</c:chartSpace>
</file>

<file path=xl/ctrlProps/ctrlProp1.xml><?xml version="1.0" encoding="utf-8"?>
<formControlPr xmlns="http://schemas.microsoft.com/office/spreadsheetml/2009/9/main" objectType="CheckBox" checked="Checked" fmlaLink="$L$2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243840</xdr:colOff>
      <xdr:row>5</xdr:row>
      <xdr:rowOff>53340</xdr:rowOff>
    </xdr:from>
    <xdr:to>
      <xdr:col>20</xdr:col>
      <xdr:colOff>533400</xdr:colOff>
      <xdr:row>6</xdr:row>
      <xdr:rowOff>177165</xdr:rowOff>
    </xdr:to>
    <xdr:sp macro="" textlink="">
      <xdr:nvSpPr>
        <xdr:cNvPr id="4" name="Text Box 2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6553200" y="2720340"/>
          <a:ext cx="6812280" cy="306705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4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Blackbody Integral between lower and upper limits of Wavelength</a:t>
          </a:r>
          <a:endParaRPr lang="en-US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8</xdr:row>
          <xdr:rowOff>7620</xdr:rowOff>
        </xdr:from>
        <xdr:to>
          <xdr:col>11</xdr:col>
          <xdr:colOff>464820</xdr:colOff>
          <xdr:row>9</xdr:row>
          <xdr:rowOff>22860</xdr:rowOff>
        </xdr:to>
        <xdr:sp macro="" textlink="">
          <xdr:nvSpPr>
            <xdr:cNvPr id="1046" name="ScrollBar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160020</xdr:colOff>
          <xdr:row>9</xdr:row>
          <xdr:rowOff>152400</xdr:rowOff>
        </xdr:from>
        <xdr:to>
          <xdr:col>11</xdr:col>
          <xdr:colOff>472440</xdr:colOff>
          <xdr:row>10</xdr:row>
          <xdr:rowOff>182880</xdr:rowOff>
        </xdr:to>
        <xdr:sp macro="" textlink="">
          <xdr:nvSpPr>
            <xdr:cNvPr id="1048" name="ScrollBar2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160020</xdr:colOff>
          <xdr:row>11</xdr:row>
          <xdr:rowOff>160020</xdr:rowOff>
        </xdr:from>
        <xdr:to>
          <xdr:col>11</xdr:col>
          <xdr:colOff>472440</xdr:colOff>
          <xdr:row>13</xdr:row>
          <xdr:rowOff>22860</xdr:rowOff>
        </xdr:to>
        <xdr:sp macro="" textlink="">
          <xdr:nvSpPr>
            <xdr:cNvPr id="1050" name="ScrollBar3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91440</xdr:colOff>
          <xdr:row>23</xdr:row>
          <xdr:rowOff>38100</xdr:rowOff>
        </xdr:from>
        <xdr:to>
          <xdr:col>15</xdr:col>
          <xdr:colOff>563880</xdr:colOff>
          <xdr:row>25</xdr:row>
          <xdr:rowOff>144780</xdr:rowOff>
        </xdr:to>
        <xdr:sp macro="" textlink="">
          <xdr:nvSpPr>
            <xdr:cNvPr id="1052" name="cmdIntegrate_Click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53340</xdr:colOff>
      <xdr:row>5</xdr:row>
      <xdr:rowOff>30480</xdr:rowOff>
    </xdr:from>
    <xdr:to>
      <xdr:col>19</xdr:col>
      <xdr:colOff>601980</xdr:colOff>
      <xdr:row>14</xdr:row>
      <xdr:rowOff>38100</xdr:rowOff>
    </xdr:to>
    <xdr:sp macro="" textlink="">
      <xdr:nvSpPr>
        <xdr:cNvPr id="24" name="Rectangle 14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rrowheads="1"/>
        </xdr:cNvSpPr>
      </xdr:nvSpPr>
      <xdr:spPr bwMode="auto">
        <a:xfrm>
          <a:off x="6720840" y="1005840"/>
          <a:ext cx="7109460" cy="1737360"/>
        </a:xfrm>
        <a:prstGeom prst="rect">
          <a:avLst/>
        </a:prstGeom>
        <a:noFill/>
        <a:ln w="28575">
          <a:solidFill>
            <a:srgbClr val="007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4</xdr:row>
      <xdr:rowOff>167640</xdr:rowOff>
    </xdr:from>
    <xdr:to>
      <xdr:col>9</xdr:col>
      <xdr:colOff>579120</xdr:colOff>
      <xdr:row>28</xdr:row>
      <xdr:rowOff>167640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525780</xdr:colOff>
          <xdr:row>27</xdr:row>
          <xdr:rowOff>45720</xdr:rowOff>
        </xdr:from>
        <xdr:to>
          <xdr:col>26</xdr:col>
          <xdr:colOff>160020</xdr:colOff>
          <xdr:row>28</xdr:row>
          <xdr:rowOff>91440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visible region</a:t>
              </a:r>
            </a:p>
          </xdr:txBody>
        </xdr:sp>
        <xdr:clientData/>
      </xdr:twoCellAnchor>
    </mc:Choice>
    <mc:Fallback/>
  </mc:AlternateContent>
  <xdr:twoCellAnchor editAs="oneCell">
    <xdr:from>
      <xdr:col>11</xdr:col>
      <xdr:colOff>525780</xdr:colOff>
      <xdr:row>0</xdr:row>
      <xdr:rowOff>30480</xdr:rowOff>
    </xdr:from>
    <xdr:to>
      <xdr:col>17</xdr:col>
      <xdr:colOff>114300</xdr:colOff>
      <xdr:row>4</xdr:row>
      <xdr:rowOff>52905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4740" y="30480"/>
          <a:ext cx="3962400" cy="814905"/>
        </a:xfrm>
        <a:prstGeom prst="rect">
          <a:avLst/>
        </a:prstGeom>
      </xdr:spPr>
    </xdr:pic>
    <xdr:clientData/>
  </xdr:twoCellAnchor>
  <xdr:oneCellAnchor>
    <xdr:from>
      <xdr:col>11</xdr:col>
      <xdr:colOff>571500</xdr:colOff>
      <xdr:row>16</xdr:row>
      <xdr:rowOff>7620</xdr:rowOff>
    </xdr:from>
    <xdr:ext cx="1553952" cy="20153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7490460" y="4358640"/>
              <a:ext cx="1553952" cy="2015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200" b="1"/>
                <a:t>Peak Wavelength, 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200" b="1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IN" sz="1200" b="1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𝝀</m:t>
                      </m:r>
                    </m:e>
                    <m:sub>
                      <m:r>
                        <a:rPr lang="en-IN" sz="1200" b="1" i="1">
                          <a:latin typeface="Cambria Math" panose="02040503050406030204" pitchFamily="18" charset="0"/>
                        </a:rPr>
                        <m:t>𝒑𝒆𝒂𝒌</m:t>
                      </m:r>
                    </m:sub>
                  </m:sSub>
                </m:oMath>
              </a14:m>
              <a:endParaRPr lang="en-IN" sz="1200" b="1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7490460" y="4358640"/>
              <a:ext cx="1553952" cy="2015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200" b="1"/>
                <a:t>Peak Wavelength, </a:t>
              </a:r>
              <a:r>
                <a:rPr lang="en-IN" sz="12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𝝀_</a:t>
              </a:r>
              <a:r>
                <a:rPr lang="en-IN" sz="1200" b="1" i="0">
                  <a:latin typeface="Cambria Math" panose="02040503050406030204" pitchFamily="18" charset="0"/>
                </a:rPr>
                <a:t>𝒑𝒆𝒂𝒌</a:t>
              </a:r>
              <a:endParaRPr lang="en-IN" sz="1200" b="1"/>
            </a:p>
          </xdr:txBody>
        </xdr:sp>
      </mc:Fallback>
    </mc:AlternateContent>
    <xdr:clientData/>
  </xdr:oneCellAnchor>
  <xdr:oneCellAnchor>
    <xdr:from>
      <xdr:col>12</xdr:col>
      <xdr:colOff>358140</xdr:colOff>
      <xdr:row>17</xdr:row>
      <xdr:rowOff>129540</xdr:rowOff>
    </xdr:from>
    <xdr:ext cx="755400" cy="187872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886700" y="4678680"/>
          <a:ext cx="755400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IN" sz="1200" b="1"/>
            <a:t>Peak Power</a:t>
          </a:r>
        </a:p>
      </xdr:txBody>
    </xdr:sp>
    <xdr:clientData/>
  </xdr:oneCellAnchor>
  <xdr:oneCellAnchor>
    <xdr:from>
      <xdr:col>12</xdr:col>
      <xdr:colOff>91440</xdr:colOff>
      <xdr:row>9</xdr:row>
      <xdr:rowOff>182880</xdr:rowOff>
    </xdr:from>
    <xdr:ext cx="1160318" cy="187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 txBox="1"/>
          </xdr:nvSpPr>
          <xdr:spPr>
            <a:xfrm>
              <a:off x="7620000" y="3596640"/>
              <a:ext cx="1160318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200" b="1"/>
                <a:t>Lower limit, 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200" b="1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IN" sz="1200" b="1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𝝀</m:t>
                      </m:r>
                    </m:e>
                    <m:sub>
                      <m:r>
                        <a:rPr lang="en-IN" sz="1200" b="1" i="1">
                          <a:latin typeface="Cambria Math" panose="02040503050406030204" pitchFamily="18" charset="0"/>
                        </a:rPr>
                        <m:t>𝒍𝒐𝒘</m:t>
                      </m:r>
                    </m:sub>
                  </m:sSub>
                </m:oMath>
              </a14:m>
              <a:r>
                <a:rPr lang="en-IN" sz="1200" b="1"/>
                <a:t>=</a:t>
              </a: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 txBox="1"/>
          </xdr:nvSpPr>
          <xdr:spPr>
            <a:xfrm>
              <a:off x="7620000" y="3596640"/>
              <a:ext cx="1160318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200" b="1"/>
                <a:t>Lower limit, </a:t>
              </a:r>
              <a:r>
                <a:rPr lang="en-IN" sz="12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𝝀_</a:t>
              </a:r>
              <a:r>
                <a:rPr lang="en-IN" sz="1200" b="1" i="0">
                  <a:latin typeface="Cambria Math" panose="02040503050406030204" pitchFamily="18" charset="0"/>
                </a:rPr>
                <a:t>𝒍𝒐𝒘</a:t>
              </a:r>
              <a:r>
                <a:rPr lang="en-IN" sz="1200" b="1"/>
                <a:t>=</a:t>
              </a:r>
            </a:p>
          </xdr:txBody>
        </xdr:sp>
      </mc:Fallback>
    </mc:AlternateContent>
    <xdr:clientData/>
  </xdr:oneCellAnchor>
  <xdr:oneCellAnchor>
    <xdr:from>
      <xdr:col>12</xdr:col>
      <xdr:colOff>83820</xdr:colOff>
      <xdr:row>12</xdr:row>
      <xdr:rowOff>0</xdr:rowOff>
    </xdr:from>
    <xdr:ext cx="1228350" cy="2024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 txBox="1"/>
          </xdr:nvSpPr>
          <xdr:spPr>
            <a:xfrm>
              <a:off x="7612380" y="3992880"/>
              <a:ext cx="1228350" cy="2024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200" b="1"/>
                <a:t>Upper limit, 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200" b="1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IN" sz="1200" b="1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𝝀</m:t>
                      </m:r>
                    </m:e>
                    <m:sub>
                      <m:r>
                        <a:rPr lang="en-IN" sz="1200" b="1" i="1">
                          <a:latin typeface="Cambria Math" panose="02040503050406030204" pitchFamily="18" charset="0"/>
                        </a:rPr>
                        <m:t>𝒉𝒊𝒈𝒉</m:t>
                      </m:r>
                    </m:sub>
                  </m:sSub>
                </m:oMath>
              </a14:m>
              <a:r>
                <a:rPr lang="en-IN" sz="1200" b="1"/>
                <a:t>=</a:t>
              </a: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 txBox="1"/>
          </xdr:nvSpPr>
          <xdr:spPr>
            <a:xfrm>
              <a:off x="7612380" y="3992880"/>
              <a:ext cx="1228350" cy="2024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200" b="1"/>
                <a:t>Upper limit, </a:t>
              </a:r>
              <a:r>
                <a:rPr lang="en-IN" sz="12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𝝀_</a:t>
              </a:r>
              <a:r>
                <a:rPr lang="en-IN" sz="1200" b="1" i="0">
                  <a:latin typeface="Cambria Math" panose="02040503050406030204" pitchFamily="18" charset="0"/>
                </a:rPr>
                <a:t>𝒉𝒊𝒈𝒉</a:t>
              </a:r>
              <a:r>
                <a:rPr lang="en-IN" sz="1200" b="1"/>
                <a:t>=</a:t>
              </a:r>
            </a:p>
          </xdr:txBody>
        </xdr:sp>
      </mc:Fallback>
    </mc:AlternateContent>
    <xdr:clientData/>
  </xdr:oneCellAnchor>
  <xdr:twoCellAnchor>
    <xdr:from>
      <xdr:col>11</xdr:col>
      <xdr:colOff>0</xdr:colOff>
      <xdr:row>15</xdr:row>
      <xdr:rowOff>175260</xdr:rowOff>
    </xdr:from>
    <xdr:to>
      <xdr:col>19</xdr:col>
      <xdr:colOff>30480</xdr:colOff>
      <xdr:row>27</xdr:row>
      <xdr:rowOff>45720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Arrowheads="1"/>
        </xdr:cNvSpPr>
      </xdr:nvSpPr>
      <xdr:spPr bwMode="auto">
        <a:xfrm>
          <a:off x="7421880" y="3063240"/>
          <a:ext cx="5836920" cy="2209800"/>
        </a:xfrm>
        <a:prstGeom prst="rect">
          <a:avLst/>
        </a:prstGeom>
        <a:noFill/>
        <a:ln w="28575">
          <a:solidFill>
            <a:srgbClr val="007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0.37015</cdr:x>
      <cdr:y>0.26271</cdr:y>
    </cdr:from>
    <cdr:to>
      <cdr:x>0.59951</cdr:x>
      <cdr:y>0.26271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05010DF8-019D-468F-B137-228B277BB6D4}"/>
            </a:ext>
          </a:extLst>
        </cdr:cNvPr>
        <cdr:cNvCxnSpPr/>
      </cdr:nvCxnSpPr>
      <cdr:spPr>
        <a:xfrm xmlns:a="http://schemas.openxmlformats.org/drawingml/2006/main" flipH="1">
          <a:off x="2324100" y="1181100"/>
          <a:ext cx="1440180" cy="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FF0000"/>
          </a:solidFill>
          <a:tailEnd type="triangle"/>
        </a:ln>
      </cdr:spPr>
      <cdr:style>
        <a:lnRef xmlns:a="http://schemas.openxmlformats.org/drawingml/2006/main" idx="3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2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0.72573</cdr:x>
      <cdr:y>0.19661</cdr:y>
    </cdr:from>
    <cdr:to>
      <cdr:x>0.89078</cdr:x>
      <cdr:y>0.25424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630383A4-8898-44CF-8D69-675D4D34673D}"/>
            </a:ext>
          </a:extLst>
        </cdr:cNvPr>
        <cdr:cNvSpPr txBox="1"/>
      </cdr:nvSpPr>
      <cdr:spPr>
        <a:xfrm xmlns:a="http://schemas.openxmlformats.org/drawingml/2006/main">
          <a:off x="4556760" y="883920"/>
          <a:ext cx="1036320" cy="2590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  <cdr:relSizeAnchor xmlns:cdr="http://schemas.openxmlformats.org/drawingml/2006/chartDrawing">
    <cdr:from>
      <cdr:x>0.59587</cdr:x>
      <cdr:y>0.22881</cdr:y>
    </cdr:from>
    <cdr:to>
      <cdr:x>0.76214</cdr:x>
      <cdr:y>0.28814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B443D9AF-3B9E-45BA-8818-76D3C1260277}"/>
            </a:ext>
          </a:extLst>
        </cdr:cNvPr>
        <cdr:cNvSpPr txBox="1"/>
      </cdr:nvSpPr>
      <cdr:spPr>
        <a:xfrm xmlns:a="http://schemas.openxmlformats.org/drawingml/2006/main">
          <a:off x="3741420" y="1028700"/>
          <a:ext cx="104394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IN" sz="14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Infrared</a:t>
          </a:r>
        </a:p>
      </cdr:txBody>
    </cdr:sp>
  </cdr:relSizeAnchor>
  <cdr:relSizeAnchor xmlns:cdr="http://schemas.openxmlformats.org/drawingml/2006/chartDrawing">
    <cdr:from>
      <cdr:x>0.71238</cdr:x>
      <cdr:y>0.26271</cdr:y>
    </cdr:from>
    <cdr:to>
      <cdr:x>0.95388</cdr:x>
      <cdr:y>0.26271</cdr:y>
    </cdr:to>
    <cdr:cxnSp macro="">
      <cdr:nvCxnSpPr>
        <cdr:cNvPr id="8" name="Straight Connector 7">
          <a:extLst xmlns:a="http://schemas.openxmlformats.org/drawingml/2006/main">
            <a:ext uri="{FF2B5EF4-FFF2-40B4-BE49-F238E27FC236}">
              <a16:creationId xmlns:a16="http://schemas.microsoft.com/office/drawing/2014/main" id="{6904E65E-84C4-4C37-AA6E-00F8084B6EC8}"/>
            </a:ext>
          </a:extLst>
        </cdr:cNvPr>
        <cdr:cNvCxnSpPr/>
      </cdr:nvCxnSpPr>
      <cdr:spPr>
        <a:xfrm xmlns:a="http://schemas.openxmlformats.org/drawingml/2006/main">
          <a:off x="4472940" y="1181100"/>
          <a:ext cx="1516380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FF0000"/>
          </a:solidFill>
        </a:ln>
      </cdr:spPr>
      <cdr:style>
        <a:lnRef xmlns:a="http://schemas.openxmlformats.org/drawingml/2006/main" idx="3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2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0.20024</cdr:x>
      <cdr:y>0.2661</cdr:y>
    </cdr:from>
    <cdr:to>
      <cdr:x>0.30461</cdr:x>
      <cdr:y>0.2661</cdr:y>
    </cdr:to>
    <cdr:cxnSp macro="">
      <cdr:nvCxnSpPr>
        <cdr:cNvPr id="12" name="Straight Arrow Connector 11">
          <a:extLst xmlns:a="http://schemas.openxmlformats.org/drawingml/2006/main">
            <a:ext uri="{FF2B5EF4-FFF2-40B4-BE49-F238E27FC236}">
              <a16:creationId xmlns:a16="http://schemas.microsoft.com/office/drawing/2014/main" id="{7EE974AE-B812-49D4-A31B-98EB444DD6FD}"/>
            </a:ext>
          </a:extLst>
        </cdr:cNvPr>
        <cdr:cNvCxnSpPr/>
      </cdr:nvCxnSpPr>
      <cdr:spPr>
        <a:xfrm xmlns:a="http://schemas.openxmlformats.org/drawingml/2006/main">
          <a:off x="1257300" y="1196340"/>
          <a:ext cx="655320" cy="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7030A0"/>
          </a:solidFill>
          <a:tailEnd type="triangle"/>
        </a:ln>
      </cdr:spPr>
      <cdr:style>
        <a:lnRef xmlns:a="http://schemas.openxmlformats.org/drawingml/2006/main" idx="3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2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0.12985</cdr:x>
      <cdr:y>0.21356</cdr:y>
    </cdr:from>
    <cdr:to>
      <cdr:x>0.25121</cdr:x>
      <cdr:y>0.33051</cdr:y>
    </cdr:to>
    <cdr:sp macro="" textlink="">
      <cdr:nvSpPr>
        <cdr:cNvPr id="13" name="TextBox 12">
          <a:extLst xmlns:a="http://schemas.openxmlformats.org/drawingml/2006/main">
            <a:ext uri="{FF2B5EF4-FFF2-40B4-BE49-F238E27FC236}">
              <a16:creationId xmlns:a16="http://schemas.microsoft.com/office/drawing/2014/main" id="{ECD482E6-00FB-467C-9E27-EC4519BFC19B}"/>
            </a:ext>
          </a:extLst>
        </cdr:cNvPr>
        <cdr:cNvSpPr txBox="1"/>
      </cdr:nvSpPr>
      <cdr:spPr>
        <a:xfrm xmlns:a="http://schemas.openxmlformats.org/drawingml/2006/main">
          <a:off x="815340" y="960120"/>
          <a:ext cx="762000" cy="5257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IN" sz="1400" b="1">
              <a:solidFill>
                <a:srgbClr val="7030A0"/>
              </a:solidFill>
              <a:latin typeface="Arial" panose="020B0604020202020204" pitchFamily="34" charset="0"/>
              <a:cs typeface="Arial" panose="020B0604020202020204" pitchFamily="34" charset="0"/>
            </a:rPr>
            <a:t>Ultra</a:t>
          </a:r>
        </a:p>
        <a:p xmlns:a="http://schemas.openxmlformats.org/drawingml/2006/main">
          <a:r>
            <a:rPr lang="en-IN" sz="1400" b="1">
              <a:solidFill>
                <a:srgbClr val="7030A0"/>
              </a:solidFill>
              <a:latin typeface="Arial" panose="020B0604020202020204" pitchFamily="34" charset="0"/>
              <a:cs typeface="Arial" panose="020B0604020202020204" pitchFamily="34" charset="0"/>
            </a:rPr>
            <a:t>Violet</a:t>
          </a:r>
        </a:p>
      </cdr:txBody>
    </cdr:sp>
  </cdr:relSizeAnchor>
  <cdr:relSizeAnchor xmlns:cdr="http://schemas.openxmlformats.org/drawingml/2006/chartDrawing">
    <cdr:from>
      <cdr:x>0.27063</cdr:x>
      <cdr:y>0.36271</cdr:y>
    </cdr:from>
    <cdr:to>
      <cdr:x>0.46117</cdr:x>
      <cdr:y>0.41695</cdr:y>
    </cdr:to>
    <cdr:sp macro="" textlink="">
      <cdr:nvSpPr>
        <cdr:cNvPr id="14" name="TextBox 13">
          <a:extLst xmlns:a="http://schemas.openxmlformats.org/drawingml/2006/main">
            <a:ext uri="{FF2B5EF4-FFF2-40B4-BE49-F238E27FC236}">
              <a16:creationId xmlns:a16="http://schemas.microsoft.com/office/drawing/2014/main" id="{941B7A61-C968-4CFB-98AA-63B2F087FAD4}"/>
            </a:ext>
          </a:extLst>
        </cdr:cNvPr>
        <cdr:cNvSpPr txBox="1"/>
      </cdr:nvSpPr>
      <cdr:spPr>
        <a:xfrm xmlns:a="http://schemas.openxmlformats.org/drawingml/2006/main">
          <a:off x="1699260" y="1630680"/>
          <a:ext cx="1196340" cy="2438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IN" sz="1600" b="1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Visible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85CC-83E4-4A24-9C04-93EB3B83016F}">
  <sheetPr codeName="Sheet1"/>
  <dimension ref="A1:AA2044"/>
  <sheetViews>
    <sheetView tabSelected="1" topLeftCell="A6" zoomScaleNormal="100" workbookViewId="0">
      <selection activeCell="K22" sqref="K22"/>
    </sheetView>
  </sheetViews>
  <sheetFormatPr defaultRowHeight="14.4" x14ac:dyDescent="0.3"/>
  <cols>
    <col min="2" max="2" width="12" bestFit="1" customWidth="1"/>
    <col min="7" max="7" width="12" bestFit="1" customWidth="1"/>
    <col min="9" max="9" width="11" bestFit="1" customWidth="1"/>
    <col min="11" max="11" width="11" bestFit="1" customWidth="1"/>
    <col min="13" max="13" width="11" bestFit="1" customWidth="1"/>
    <col min="15" max="16" width="12" bestFit="1" customWidth="1"/>
    <col min="17" max="17" width="11" bestFit="1" customWidth="1"/>
    <col min="19" max="19" width="12" bestFit="1" customWidth="1"/>
  </cols>
  <sheetData>
    <row r="1" spans="1:27" ht="19.2" x14ac:dyDescent="0.3">
      <c r="A1" s="29" t="s">
        <v>0</v>
      </c>
      <c r="B1" s="29"/>
      <c r="C1" s="29"/>
      <c r="D1" s="29"/>
      <c r="E1" s="29"/>
      <c r="F1" s="29"/>
      <c r="G1" s="29"/>
      <c r="H1" s="29"/>
      <c r="I1" s="29"/>
      <c r="J1" s="29"/>
    </row>
    <row r="2" spans="1:27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2" t="b">
        <v>1</v>
      </c>
      <c r="M2" s="1"/>
      <c r="N2" s="1"/>
      <c r="O2" s="1"/>
      <c r="P2" s="1"/>
      <c r="Q2" s="1"/>
      <c r="R2" s="1"/>
      <c r="S2" s="1"/>
      <c r="T2" s="1"/>
      <c r="U2" s="1"/>
      <c r="V2" s="1"/>
      <c r="W2" s="1"/>
      <c r="AA2" t="b">
        <v>1</v>
      </c>
    </row>
    <row r="3" spans="1:27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2" t="b">
        <v>1</v>
      </c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7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2" t="b">
        <v>1</v>
      </c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7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2" t="b">
        <v>1</v>
      </c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7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7"/>
      <c r="L6" s="7"/>
      <c r="M6" s="7"/>
      <c r="N6" s="7"/>
      <c r="O6" s="7"/>
      <c r="P6" s="7"/>
      <c r="Q6" s="7"/>
      <c r="R6" s="7"/>
      <c r="S6" s="7"/>
      <c r="T6" s="7"/>
      <c r="U6" s="1"/>
      <c r="V6" s="1"/>
      <c r="W6" s="1"/>
    </row>
    <row r="7" spans="1:27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7"/>
      <c r="L7" s="7"/>
      <c r="M7" s="7"/>
      <c r="N7" s="7"/>
      <c r="O7" s="7"/>
      <c r="P7" s="7"/>
      <c r="Q7" s="7"/>
      <c r="R7" s="7"/>
      <c r="S7" s="7"/>
      <c r="T7" s="7"/>
      <c r="U7" s="1"/>
      <c r="V7" s="1"/>
      <c r="W7" s="1"/>
    </row>
    <row r="8" spans="1:27" ht="16.2" x14ac:dyDescent="0.4">
      <c r="A8" s="1"/>
      <c r="B8" s="1"/>
      <c r="C8" s="1"/>
      <c r="D8" s="1"/>
      <c r="E8" s="3">
        <v>0.4</v>
      </c>
      <c r="F8" s="4">
        <f>IF(L2=TRUE,10000000000,0.00001)</f>
        <v>10000000000</v>
      </c>
      <c r="G8" s="1"/>
      <c r="H8" s="1"/>
      <c r="I8" s="5">
        <v>0.7</v>
      </c>
      <c r="J8" s="6">
        <f>IF(L2=TRUE,10000000000,0.00001)</f>
        <v>10000000000</v>
      </c>
      <c r="K8" s="7"/>
      <c r="L8" s="7"/>
      <c r="M8" s="7"/>
      <c r="N8" s="7"/>
      <c r="O8" s="7"/>
      <c r="P8" s="7"/>
      <c r="Q8" s="7"/>
      <c r="R8" s="7"/>
      <c r="S8" s="7"/>
      <c r="T8" s="7"/>
      <c r="U8" s="1"/>
      <c r="V8" s="1"/>
      <c r="W8" s="1"/>
    </row>
    <row r="9" spans="1:27" ht="16.8" x14ac:dyDescent="0.4">
      <c r="A9" s="1"/>
      <c r="B9" s="1"/>
      <c r="C9" s="1"/>
      <c r="D9" s="1"/>
      <c r="E9" s="3">
        <v>0.4</v>
      </c>
      <c r="F9" s="3">
        <v>1E-4</v>
      </c>
      <c r="G9" s="1"/>
      <c r="H9" s="1"/>
      <c r="I9" s="5">
        <v>0.7</v>
      </c>
      <c r="J9" s="5">
        <v>1E-4</v>
      </c>
      <c r="K9" s="7"/>
      <c r="L9" s="7"/>
      <c r="M9" s="30" t="s">
        <v>7</v>
      </c>
      <c r="N9" s="30"/>
      <c r="O9" s="25"/>
      <c r="P9" s="16">
        <v>5800</v>
      </c>
      <c r="Q9" s="8" t="s">
        <v>1</v>
      </c>
      <c r="R9" s="7"/>
      <c r="S9" s="7"/>
      <c r="T9" s="7"/>
      <c r="U9" s="1"/>
      <c r="V9" s="1"/>
      <c r="W9" s="1"/>
    </row>
    <row r="10" spans="1:27" ht="15.6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7"/>
      <c r="L10" s="7"/>
      <c r="M10" s="7"/>
      <c r="N10" s="7"/>
      <c r="O10" s="7"/>
      <c r="P10" s="8"/>
      <c r="Q10" s="8"/>
      <c r="R10" s="7"/>
      <c r="S10" s="7"/>
      <c r="T10" s="7"/>
      <c r="U10" s="1"/>
      <c r="V10" s="1"/>
      <c r="W10" s="1"/>
    </row>
    <row r="11" spans="1:27" ht="15.6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7"/>
      <c r="L11" s="7"/>
      <c r="M11" s="30"/>
      <c r="N11" s="30"/>
      <c r="O11" s="17"/>
      <c r="P11" s="10">
        <v>31</v>
      </c>
      <c r="Q11" s="8" t="s">
        <v>2</v>
      </c>
      <c r="R11" s="7" t="s">
        <v>9</v>
      </c>
      <c r="S11" s="7"/>
      <c r="T11" s="7"/>
      <c r="U11" s="1"/>
      <c r="V11" s="1"/>
      <c r="W11" s="1"/>
    </row>
    <row r="12" spans="1:27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7"/>
      <c r="L12" s="7"/>
      <c r="M12" s="7"/>
      <c r="N12" s="7"/>
      <c r="O12" s="7"/>
      <c r="P12" s="19">
        <f>LowerLim</f>
        <v>31</v>
      </c>
      <c r="Q12" s="7"/>
      <c r="R12" s="7"/>
      <c r="S12" s="7"/>
      <c r="T12" s="7"/>
      <c r="U12" s="1"/>
      <c r="V12" s="1"/>
      <c r="W12" s="1"/>
    </row>
    <row r="13" spans="1:27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7"/>
      <c r="L13" s="7"/>
      <c r="M13" s="30"/>
      <c r="N13" s="30"/>
      <c r="O13" s="17"/>
      <c r="P13" s="15">
        <v>65</v>
      </c>
      <c r="Q13" s="9" t="s">
        <v>2</v>
      </c>
      <c r="R13" s="7" t="s">
        <v>10</v>
      </c>
      <c r="S13" s="7"/>
      <c r="T13" s="7"/>
      <c r="U13" s="1"/>
      <c r="V13" s="1"/>
      <c r="W13" s="1"/>
    </row>
    <row r="14" spans="1:27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7"/>
      <c r="L14" s="7"/>
      <c r="M14" s="7"/>
      <c r="N14" s="7"/>
      <c r="O14" s="7"/>
      <c r="P14" s="19">
        <f>UpperLim</f>
        <v>65</v>
      </c>
      <c r="Q14" s="7"/>
      <c r="R14" s="7"/>
      <c r="S14" s="7"/>
      <c r="T14" s="7"/>
      <c r="U14" s="1"/>
      <c r="V14" s="1"/>
      <c r="W14" s="1"/>
    </row>
    <row r="15" spans="1:27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W15" s="1"/>
    </row>
    <row r="16" spans="1:27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W16" s="1"/>
    </row>
    <row r="17" spans="1:23" ht="15.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L17" s="20"/>
      <c r="M17" s="28"/>
      <c r="N17" s="28"/>
      <c r="O17" s="24"/>
      <c r="P17" s="21">
        <f xml:space="preserve"> ROUND(2897.8/Temperature,2)</f>
        <v>0.5</v>
      </c>
      <c r="Q17" s="22" t="s">
        <v>2</v>
      </c>
      <c r="R17" s="20"/>
      <c r="S17" s="20"/>
      <c r="W17" s="1"/>
    </row>
    <row r="18" spans="1:23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L18" s="20"/>
      <c r="M18" s="20"/>
      <c r="N18" s="20"/>
      <c r="O18" s="20"/>
      <c r="P18" s="23"/>
      <c r="Q18" s="20"/>
      <c r="R18" s="20"/>
      <c r="S18" s="20"/>
      <c r="W18" s="1"/>
    </row>
    <row r="19" spans="1:23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L19" s="20"/>
      <c r="M19" s="28"/>
      <c r="N19" s="28"/>
      <c r="O19" s="24"/>
      <c r="P19" s="21">
        <f>ROUND(Planck(Peak,Temperature),2)</f>
        <v>84392656.400000006</v>
      </c>
      <c r="Q19" s="23" t="s">
        <v>3</v>
      </c>
      <c r="R19" s="20"/>
      <c r="S19" s="20"/>
      <c r="W19" s="1"/>
    </row>
    <row r="20" spans="1:23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L20" s="20"/>
      <c r="M20" s="20"/>
      <c r="N20" s="20"/>
      <c r="O20" s="20"/>
      <c r="P20" s="20"/>
      <c r="Q20" s="20"/>
      <c r="R20" s="20"/>
      <c r="S20" s="20"/>
      <c r="W20" s="1"/>
    </row>
    <row r="21" spans="1:23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L21" s="27" t="s">
        <v>8</v>
      </c>
      <c r="M21" s="27"/>
      <c r="N21" s="27"/>
      <c r="O21" s="27"/>
      <c r="P21" s="27"/>
      <c r="Q21" s="27"/>
      <c r="R21" s="27"/>
      <c r="S21" s="27"/>
      <c r="W21" s="1"/>
    </row>
    <row r="22" spans="1:23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L22" s="27"/>
      <c r="M22" s="27"/>
      <c r="N22" s="27"/>
      <c r="O22" s="27"/>
      <c r="P22" s="27"/>
      <c r="Q22" s="27"/>
      <c r="R22" s="27"/>
      <c r="S22" s="27"/>
      <c r="W22" s="1"/>
    </row>
    <row r="23" spans="1:23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L23" s="27"/>
      <c r="M23" s="27"/>
      <c r="N23" s="27"/>
      <c r="O23" s="27"/>
      <c r="P23" s="27"/>
      <c r="Q23" s="27"/>
      <c r="R23" s="27"/>
      <c r="S23" s="27"/>
      <c r="W23" s="1"/>
    </row>
    <row r="24" spans="1:23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L24" s="20"/>
      <c r="M24" s="7"/>
      <c r="N24" s="7"/>
      <c r="O24" s="7"/>
      <c r="P24" s="7"/>
      <c r="Q24" s="7"/>
      <c r="R24" s="7"/>
      <c r="S24" s="20"/>
      <c r="W24" s="1"/>
    </row>
    <row r="25" spans="1:23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L25" s="20"/>
      <c r="M25" s="7"/>
      <c r="N25" s="7"/>
      <c r="O25" s="7"/>
      <c r="P25" s="7"/>
      <c r="Q25" s="7"/>
      <c r="R25" s="7"/>
      <c r="S25" s="20"/>
      <c r="W25" s="1"/>
    </row>
    <row r="26" spans="1:23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L26" s="20"/>
      <c r="M26" s="7"/>
      <c r="N26" s="7"/>
      <c r="O26" s="7"/>
      <c r="P26" s="7"/>
      <c r="Q26" s="7"/>
      <c r="R26" s="7"/>
      <c r="S26" s="20"/>
      <c r="W26" s="1"/>
    </row>
    <row r="27" spans="1:23" ht="24.6" x14ac:dyDescent="0.4">
      <c r="A27" s="1"/>
      <c r="B27" s="1"/>
      <c r="C27" s="1"/>
      <c r="D27" s="1"/>
      <c r="E27" s="1"/>
      <c r="F27" s="1"/>
      <c r="G27" s="1"/>
      <c r="H27" s="1"/>
      <c r="I27" s="1"/>
      <c r="J27" s="1"/>
      <c r="L27" s="20"/>
      <c r="M27" s="7"/>
      <c r="N27" s="7"/>
      <c r="O27" s="26">
        <v>2.2707453789529934E-5</v>
      </c>
      <c r="P27" s="26"/>
      <c r="Q27" s="7"/>
      <c r="R27" s="7"/>
      <c r="S27" s="20"/>
      <c r="W27" s="1"/>
    </row>
    <row r="28" spans="1:23" ht="14.4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W28" s="1"/>
    </row>
    <row r="29" spans="1:23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W29" s="1"/>
    </row>
    <row r="31" spans="1:23" ht="14.4" customHeight="1" x14ac:dyDescent="0.3">
      <c r="D31" s="11">
        <v>0.4</v>
      </c>
      <c r="E31" s="18">
        <f>Planck(0.4,Temperature)</f>
        <v>74119904.031414405</v>
      </c>
      <c r="F31" s="11">
        <v>0.7</v>
      </c>
      <c r="G31" s="11">
        <f>Planck(0.7,Temperature)</f>
        <v>66230657.011836559</v>
      </c>
      <c r="H31" s="11">
        <v>0.44</v>
      </c>
      <c r="I31" s="11">
        <f>Planck(0.44,Temperature)</f>
        <v>81007538.731430426</v>
      </c>
      <c r="J31" s="11">
        <v>0.5</v>
      </c>
      <c r="K31" s="11">
        <f>Planck(0.5,Temperature)</f>
        <v>84392656.400436878</v>
      </c>
      <c r="L31" s="11">
        <v>0.56999999999999995</v>
      </c>
      <c r="M31" s="11">
        <f>Planck(0.57,Temperature)</f>
        <v>81097213.872604296</v>
      </c>
      <c r="N31" s="11">
        <v>0.59</v>
      </c>
      <c r="O31" s="11">
        <f>Planck(0.59,Temperature)</f>
        <v>79268592.047915205</v>
      </c>
      <c r="P31" s="11">
        <v>0.62</v>
      </c>
      <c r="Q31" s="11">
        <f>Planck(0.62,Temperature)</f>
        <v>76077704.154450789</v>
      </c>
    </row>
    <row r="32" spans="1:23" x14ac:dyDescent="0.3">
      <c r="D32" s="11">
        <v>0.4</v>
      </c>
      <c r="E32" s="11">
        <v>1E-4</v>
      </c>
      <c r="F32" s="11">
        <v>0.7</v>
      </c>
      <c r="G32" s="11">
        <f>0.0001</f>
        <v>1E-4</v>
      </c>
      <c r="H32" s="11">
        <v>0.44</v>
      </c>
      <c r="I32" s="11">
        <v>1E-4</v>
      </c>
      <c r="J32" s="11">
        <v>0.5</v>
      </c>
      <c r="K32" s="11">
        <v>1E-4</v>
      </c>
      <c r="L32" s="11">
        <v>0.56999999999999995</v>
      </c>
      <c r="M32" s="11">
        <v>1E-4</v>
      </c>
      <c r="N32" s="11">
        <v>0.59</v>
      </c>
      <c r="O32" s="11">
        <v>1E-4</v>
      </c>
      <c r="P32" s="11">
        <v>0.62</v>
      </c>
      <c r="Q32" s="11">
        <v>1E-4</v>
      </c>
    </row>
    <row r="41" spans="1:12" x14ac:dyDescent="0.3">
      <c r="L41" s="31"/>
    </row>
    <row r="44" spans="1:12" ht="16.2" x14ac:dyDescent="0.4">
      <c r="A44" s="11"/>
      <c r="B44" s="12" t="s">
        <v>5</v>
      </c>
    </row>
    <row r="45" spans="1:12" x14ac:dyDescent="0.3">
      <c r="A45" s="13" t="s">
        <v>6</v>
      </c>
      <c r="B45" s="14" t="s">
        <v>4</v>
      </c>
    </row>
    <row r="46" spans="1:12" ht="15" customHeight="1" x14ac:dyDescent="0.3">
      <c r="A46" s="11">
        <v>0.1</v>
      </c>
      <c r="B46" s="11">
        <f t="shared" ref="B46:B77" si="0">374200000/(A46^5*(EXP(14390/(A46*Temperature))-1))</f>
        <v>628.21446265003055</v>
      </c>
    </row>
    <row r="47" spans="1:12" x14ac:dyDescent="0.3">
      <c r="A47" s="11">
        <v>0.15</v>
      </c>
      <c r="B47" s="11">
        <f t="shared" si="0"/>
        <v>323085.1134872571</v>
      </c>
    </row>
    <row r="48" spans="1:12" x14ac:dyDescent="0.3">
      <c r="A48" s="11">
        <v>0.2</v>
      </c>
      <c r="B48" s="11">
        <f t="shared" si="0"/>
        <v>4791347.3680714397</v>
      </c>
    </row>
    <row r="49" spans="1:2" x14ac:dyDescent="0.3">
      <c r="A49" s="11">
        <v>0.25</v>
      </c>
      <c r="B49" s="11">
        <f t="shared" si="0"/>
        <v>18768374.908851862</v>
      </c>
    </row>
    <row r="50" spans="1:2" x14ac:dyDescent="0.3">
      <c r="A50" s="11">
        <v>0.3</v>
      </c>
      <c r="B50" s="11">
        <f t="shared" si="0"/>
        <v>39440593.649520695</v>
      </c>
    </row>
    <row r="51" spans="1:2" x14ac:dyDescent="0.3">
      <c r="A51" s="11">
        <v>0.35</v>
      </c>
      <c r="B51" s="11">
        <f t="shared" si="0"/>
        <v>59505333.104991429</v>
      </c>
    </row>
    <row r="52" spans="1:2" x14ac:dyDescent="0.3">
      <c r="A52" s="11">
        <v>0.4</v>
      </c>
      <c r="B52" s="11">
        <f t="shared" si="0"/>
        <v>74119904.03141439</v>
      </c>
    </row>
    <row r="53" spans="1:2" x14ac:dyDescent="0.3">
      <c r="A53" s="11">
        <v>0.45</v>
      </c>
      <c r="B53" s="11">
        <f t="shared" si="0"/>
        <v>82101757.153617486</v>
      </c>
    </row>
    <row r="54" spans="1:2" x14ac:dyDescent="0.3">
      <c r="A54" s="11">
        <v>0.5</v>
      </c>
      <c r="B54" s="11">
        <f t="shared" si="0"/>
        <v>84392656.400436878</v>
      </c>
    </row>
    <row r="55" spans="1:2" x14ac:dyDescent="0.3">
      <c r="A55" s="11">
        <v>0.55000000000000004</v>
      </c>
      <c r="B55" s="11">
        <f t="shared" si="0"/>
        <v>82603513.792470545</v>
      </c>
    </row>
    <row r="56" spans="1:2" x14ac:dyDescent="0.3">
      <c r="A56" s="11">
        <v>0.6</v>
      </c>
      <c r="B56" s="11">
        <f t="shared" si="0"/>
        <v>78256525.364372209</v>
      </c>
    </row>
    <row r="57" spans="1:2" x14ac:dyDescent="0.3">
      <c r="A57" s="11">
        <v>0.65</v>
      </c>
      <c r="B57" s="11">
        <f t="shared" si="0"/>
        <v>72527699.704624087</v>
      </c>
    </row>
    <row r="58" spans="1:2" x14ac:dyDescent="0.3">
      <c r="A58" s="11">
        <v>0.7</v>
      </c>
      <c r="B58" s="11">
        <f t="shared" si="0"/>
        <v>66230657.011836529</v>
      </c>
    </row>
    <row r="59" spans="1:2" x14ac:dyDescent="0.3">
      <c r="A59" s="11">
        <v>0.75</v>
      </c>
      <c r="B59" s="11">
        <f t="shared" si="0"/>
        <v>59885146.916938953</v>
      </c>
    </row>
    <row r="60" spans="1:2" x14ac:dyDescent="0.3">
      <c r="A60" s="11">
        <v>0.8</v>
      </c>
      <c r="B60" s="11">
        <f t="shared" si="0"/>
        <v>53798714.216645651</v>
      </c>
    </row>
    <row r="61" spans="1:2" x14ac:dyDescent="0.3">
      <c r="A61" s="11">
        <v>0.85</v>
      </c>
      <c r="B61" s="11">
        <f t="shared" si="0"/>
        <v>48135905.426299639</v>
      </c>
    </row>
    <row r="62" spans="1:2" x14ac:dyDescent="0.3">
      <c r="A62" s="11">
        <v>0.9</v>
      </c>
      <c r="B62" s="11">
        <f t="shared" si="0"/>
        <v>42969668.068943553</v>
      </c>
    </row>
    <row r="63" spans="1:2" x14ac:dyDescent="0.3">
      <c r="A63" s="11">
        <v>0.95</v>
      </c>
      <c r="B63" s="11">
        <f t="shared" si="0"/>
        <v>38316938.881115288</v>
      </c>
    </row>
    <row r="64" spans="1:2" x14ac:dyDescent="0.3">
      <c r="A64" s="11">
        <v>1</v>
      </c>
      <c r="B64" s="11">
        <f t="shared" si="0"/>
        <v>34162210.187932268</v>
      </c>
    </row>
    <row r="65" spans="1:2" x14ac:dyDescent="0.3">
      <c r="A65" s="11">
        <v>1.05</v>
      </c>
      <c r="B65" s="11">
        <f t="shared" si="0"/>
        <v>30472622.84081272</v>
      </c>
    </row>
    <row r="66" spans="1:2" x14ac:dyDescent="0.3">
      <c r="A66" s="11">
        <v>1.1000000000000001</v>
      </c>
      <c r="B66" s="11">
        <f t="shared" si="0"/>
        <v>27207345.393137194</v>
      </c>
    </row>
    <row r="67" spans="1:2" x14ac:dyDescent="0.3">
      <c r="A67" s="11">
        <v>1.1499999999999999</v>
      </c>
      <c r="B67" s="11">
        <f t="shared" si="0"/>
        <v>24323212.236461829</v>
      </c>
    </row>
    <row r="68" spans="1:2" x14ac:dyDescent="0.3">
      <c r="A68" s="11">
        <v>1.2</v>
      </c>
      <c r="B68" s="11">
        <f t="shared" si="0"/>
        <v>21777966.781753935</v>
      </c>
    </row>
    <row r="69" spans="1:2" x14ac:dyDescent="0.3">
      <c r="A69" s="11">
        <v>1.25</v>
      </c>
      <c r="B69" s="11">
        <f t="shared" si="0"/>
        <v>19532002.098483808</v>
      </c>
    </row>
    <row r="70" spans="1:2" x14ac:dyDescent="0.3">
      <c r="A70" s="11">
        <v>1.3</v>
      </c>
      <c r="B70" s="11">
        <f t="shared" si="0"/>
        <v>17549179.076500468</v>
      </c>
    </row>
    <row r="71" spans="1:2" x14ac:dyDescent="0.3">
      <c r="A71" s="11">
        <v>1.35</v>
      </c>
      <c r="B71" s="11">
        <f t="shared" si="0"/>
        <v>15797093.429458693</v>
      </c>
    </row>
    <row r="72" spans="1:2" x14ac:dyDescent="0.3">
      <c r="A72" s="11">
        <v>1.4</v>
      </c>
      <c r="B72" s="11">
        <f t="shared" si="0"/>
        <v>14247025.988959817</v>
      </c>
    </row>
    <row r="73" spans="1:2" x14ac:dyDescent="0.3">
      <c r="A73" s="11">
        <v>1.45</v>
      </c>
      <c r="B73" s="11">
        <f t="shared" si="0"/>
        <v>12873722.184521003</v>
      </c>
    </row>
    <row r="74" spans="1:2" x14ac:dyDescent="0.3">
      <c r="A74" s="11">
        <v>1.5</v>
      </c>
      <c r="B74" s="11">
        <f t="shared" si="0"/>
        <v>11655089.902213108</v>
      </c>
    </row>
    <row r="75" spans="1:2" x14ac:dyDescent="0.3">
      <c r="A75" s="11">
        <v>1.55</v>
      </c>
      <c r="B75" s="11">
        <f t="shared" si="0"/>
        <v>10571868.945300829</v>
      </c>
    </row>
    <row r="76" spans="1:2" x14ac:dyDescent="0.3">
      <c r="A76" s="11">
        <v>1.6</v>
      </c>
      <c r="B76" s="11">
        <f t="shared" si="0"/>
        <v>9607302.7261631247</v>
      </c>
    </row>
    <row r="77" spans="1:2" x14ac:dyDescent="0.3">
      <c r="A77" s="11">
        <v>1.65</v>
      </c>
      <c r="B77" s="11">
        <f t="shared" si="0"/>
        <v>8746828.7940096147</v>
      </c>
    </row>
    <row r="78" spans="1:2" x14ac:dyDescent="0.3">
      <c r="A78" s="11">
        <v>1.7</v>
      </c>
      <c r="B78" s="11">
        <f t="shared" ref="B78:B109" si="1">374200000/(A78^5*(EXP(14390/(A78*Temperature))-1))</f>
        <v>7977796.2340540597</v>
      </c>
    </row>
    <row r="79" spans="1:2" x14ac:dyDescent="0.3">
      <c r="A79" s="11">
        <v>1.75</v>
      </c>
      <c r="B79" s="11">
        <f t="shared" si="1"/>
        <v>7289212.8557386119</v>
      </c>
    </row>
    <row r="80" spans="1:2" x14ac:dyDescent="0.3">
      <c r="A80" s="11">
        <v>1.8</v>
      </c>
      <c r="B80" s="11">
        <f t="shared" si="1"/>
        <v>6671522.1347173955</v>
      </c>
    </row>
    <row r="81" spans="1:2" x14ac:dyDescent="0.3">
      <c r="A81" s="11">
        <v>1.85</v>
      </c>
      <c r="B81" s="11">
        <f t="shared" si="1"/>
        <v>6116408.2646364029</v>
      </c>
    </row>
    <row r="82" spans="1:2" x14ac:dyDescent="0.3">
      <c r="A82" s="11">
        <v>1.9</v>
      </c>
      <c r="B82" s="11">
        <f t="shared" si="1"/>
        <v>5616626.8882788289</v>
      </c>
    </row>
    <row r="83" spans="1:2" x14ac:dyDescent="0.3">
      <c r="A83" s="11">
        <v>1.95</v>
      </c>
      <c r="B83" s="11">
        <f t="shared" si="1"/>
        <v>5165858.7832259191</v>
      </c>
    </row>
    <row r="84" spans="1:2" x14ac:dyDescent="0.3">
      <c r="A84" s="11">
        <v>2</v>
      </c>
      <c r="B84" s="11">
        <f t="shared" si="1"/>
        <v>4758583.7674809685</v>
      </c>
    </row>
    <row r="85" spans="1:2" x14ac:dyDescent="0.3">
      <c r="A85" s="11">
        <v>2.0499999999999998</v>
      </c>
      <c r="B85" s="11">
        <f t="shared" si="1"/>
        <v>4389972.2366133761</v>
      </c>
    </row>
    <row r="86" spans="1:2" x14ac:dyDescent="0.3">
      <c r="A86" s="11">
        <v>2.1</v>
      </c>
      <c r="B86" s="11">
        <f t="shared" si="1"/>
        <v>4055791.9669027673</v>
      </c>
    </row>
    <row r="87" spans="1:2" x14ac:dyDescent="0.3">
      <c r="A87" s="11">
        <v>2.15</v>
      </c>
      <c r="B87" s="11">
        <f t="shared" si="1"/>
        <v>3752328.0713126184</v>
      </c>
    </row>
    <row r="88" spans="1:2" x14ac:dyDescent="0.3">
      <c r="A88" s="11">
        <v>2.2000000000000002</v>
      </c>
      <c r="B88" s="11">
        <f t="shared" si="1"/>
        <v>3476314.2493968904</v>
      </c>
    </row>
    <row r="89" spans="1:2" x14ac:dyDescent="0.3">
      <c r="A89" s="11">
        <v>2.25</v>
      </c>
      <c r="B89" s="11">
        <f t="shared" si="1"/>
        <v>3224873.7133301725</v>
      </c>
    </row>
    <row r="90" spans="1:2" x14ac:dyDescent="0.3">
      <c r="A90" s="11">
        <v>2.2999999999999998</v>
      </c>
      <c r="B90" s="11">
        <f t="shared" si="1"/>
        <v>2995468.3926490233</v>
      </c>
    </row>
    <row r="91" spans="1:2" x14ac:dyDescent="0.3">
      <c r="A91" s="11">
        <v>2.35</v>
      </c>
      <c r="B91" s="11">
        <f t="shared" si="1"/>
        <v>2785855.2170737926</v>
      </c>
    </row>
    <row r="92" spans="1:2" x14ac:dyDescent="0.3">
      <c r="A92" s="11">
        <v>2.4</v>
      </c>
      <c r="B92" s="11">
        <f t="shared" si="1"/>
        <v>2594048.4496830315</v>
      </c>
    </row>
    <row r="93" spans="1:2" x14ac:dyDescent="0.3">
      <c r="A93" s="11">
        <v>2.4500000000000002</v>
      </c>
      <c r="B93" s="11">
        <f t="shared" si="1"/>
        <v>2418287.1929429411</v>
      </c>
    </row>
    <row r="94" spans="1:2" x14ac:dyDescent="0.3">
      <c r="A94" s="11">
        <v>2.5</v>
      </c>
      <c r="B94" s="11">
        <f t="shared" si="1"/>
        <v>2257007.3195917713</v>
      </c>
    </row>
    <row r="95" spans="1:2" x14ac:dyDescent="0.3">
      <c r="A95" s="11">
        <v>2.5499999999999998</v>
      </c>
      <c r="B95" s="11">
        <f t="shared" si="1"/>
        <v>2108817.1913733864</v>
      </c>
    </row>
    <row r="96" spans="1:2" x14ac:dyDescent="0.3">
      <c r="A96" s="11">
        <v>2.6</v>
      </c>
      <c r="B96" s="11">
        <f t="shared" si="1"/>
        <v>1972476.6233672111</v>
      </c>
    </row>
    <row r="97" spans="1:2" x14ac:dyDescent="0.3">
      <c r="A97" s="11">
        <v>2.65</v>
      </c>
      <c r="B97" s="11">
        <f t="shared" si="1"/>
        <v>1846878.6323229258</v>
      </c>
    </row>
    <row r="98" spans="1:2" x14ac:dyDescent="0.3">
      <c r="A98" s="11">
        <v>2.7</v>
      </c>
      <c r="B98" s="11">
        <f t="shared" si="1"/>
        <v>1731033.575944474</v>
      </c>
    </row>
    <row r="99" spans="1:2" x14ac:dyDescent="0.3">
      <c r="A99" s="11">
        <v>2.75</v>
      </c>
      <c r="B99" s="11">
        <f t="shared" si="1"/>
        <v>1624055.3482332332</v>
      </c>
    </row>
    <row r="100" spans="1:2" x14ac:dyDescent="0.3">
      <c r="A100" s="11">
        <v>2.8</v>
      </c>
      <c r="B100" s="11">
        <f t="shared" si="1"/>
        <v>1525149.3453331671</v>
      </c>
    </row>
    <row r="101" spans="1:2" x14ac:dyDescent="0.3">
      <c r="A101" s="11">
        <v>2.85</v>
      </c>
      <c r="B101" s="11">
        <f t="shared" si="1"/>
        <v>1433601.9581547251</v>
      </c>
    </row>
    <row r="102" spans="1:2" x14ac:dyDescent="0.3">
      <c r="A102" s="11">
        <v>2.9</v>
      </c>
      <c r="B102" s="11">
        <f t="shared" si="1"/>
        <v>1348771.383534377</v>
      </c>
    </row>
    <row r="103" spans="1:2" x14ac:dyDescent="0.3">
      <c r="A103" s="11">
        <v>2.95</v>
      </c>
      <c r="B103" s="11">
        <f t="shared" si="1"/>
        <v>1270079.5757909487</v>
      </c>
    </row>
    <row r="104" spans="1:2" x14ac:dyDescent="0.3">
      <c r="A104" s="11">
        <v>3</v>
      </c>
      <c r="B104" s="11">
        <f t="shared" si="1"/>
        <v>1197005.1860992827</v>
      </c>
    </row>
    <row r="105" spans="1:2" x14ac:dyDescent="0.3">
      <c r="A105" s="11">
        <v>3.05</v>
      </c>
      <c r="B105" s="11">
        <f t="shared" si="1"/>
        <v>1129077.3588201306</v>
      </c>
    </row>
    <row r="106" spans="1:2" x14ac:dyDescent="0.3">
      <c r="A106" s="11">
        <v>3.1</v>
      </c>
      <c r="B106" s="11">
        <f t="shared" si="1"/>
        <v>1065870.2723976092</v>
      </c>
    </row>
    <row r="107" spans="1:2" x14ac:dyDescent="0.3">
      <c r="A107" s="11">
        <v>3.15</v>
      </c>
      <c r="B107" s="11">
        <f t="shared" si="1"/>
        <v>1006998.3281638985</v>
      </c>
    </row>
    <row r="108" spans="1:2" x14ac:dyDescent="0.3">
      <c r="A108" s="11">
        <v>3.2</v>
      </c>
      <c r="B108" s="11">
        <f t="shared" si="1"/>
        <v>952111.90379841835</v>
      </c>
    </row>
    <row r="109" spans="1:2" x14ac:dyDescent="0.3">
      <c r="A109" s="11">
        <v>3.25</v>
      </c>
      <c r="B109" s="11">
        <f t="shared" si="1"/>
        <v>900893.5996320222</v>
      </c>
    </row>
    <row r="110" spans="1:2" x14ac:dyDescent="0.3">
      <c r="A110" s="11">
        <v>3.3</v>
      </c>
      <c r="B110" s="11">
        <f t="shared" ref="B110:B141" si="2">374200000/(A110^5*(EXP(14390/(A110*Temperature))-1))</f>
        <v>853054.91576610052</v>
      </c>
    </row>
    <row r="111" spans="1:2" x14ac:dyDescent="0.3">
      <c r="A111" s="11">
        <v>3.35</v>
      </c>
      <c r="B111" s="11">
        <f t="shared" si="2"/>
        <v>808333.3063451167</v>
      </c>
    </row>
    <row r="112" spans="1:2" x14ac:dyDescent="0.3">
      <c r="A112" s="11">
        <v>3.4</v>
      </c>
      <c r="B112" s="11">
        <f t="shared" si="2"/>
        <v>766489.56449213508</v>
      </c>
    </row>
    <row r="113" spans="1:2" x14ac:dyDescent="0.3">
      <c r="A113" s="11">
        <v>3.45</v>
      </c>
      <c r="B113" s="11">
        <f t="shared" si="2"/>
        <v>727305.49757040001</v>
      </c>
    </row>
    <row r="114" spans="1:2" x14ac:dyDescent="0.3">
      <c r="A114" s="11">
        <v>3.5</v>
      </c>
      <c r="B114" s="11">
        <f t="shared" si="2"/>
        <v>690581.85772174934</v>
      </c>
    </row>
    <row r="115" spans="1:2" x14ac:dyDescent="0.3">
      <c r="A115" s="11">
        <v>3.55</v>
      </c>
      <c r="B115" s="11">
        <f t="shared" si="2"/>
        <v>656136.4971828108</v>
      </c>
    </row>
    <row r="116" spans="1:2" x14ac:dyDescent="0.3">
      <c r="A116" s="11">
        <v>3.6</v>
      </c>
      <c r="B116" s="11">
        <f t="shared" si="2"/>
        <v>623802.72180109669</v>
      </c>
    </row>
    <row r="117" spans="1:2" x14ac:dyDescent="0.3">
      <c r="A117" s="11">
        <v>3.65</v>
      </c>
      <c r="B117" s="11">
        <f t="shared" si="2"/>
        <v>593427.81955691078</v>
      </c>
    </row>
    <row r="118" spans="1:2" x14ac:dyDescent="0.3">
      <c r="A118" s="11">
        <v>3.7</v>
      </c>
      <c r="B118" s="11">
        <f t="shared" si="2"/>
        <v>564871.74382133596</v>
      </c>
    </row>
    <row r="119" spans="1:2" x14ac:dyDescent="0.3">
      <c r="A119" s="11">
        <v>3.75</v>
      </c>
      <c r="B119" s="11">
        <f t="shared" si="2"/>
        <v>538005.93361136573</v>
      </c>
    </row>
    <row r="120" spans="1:2" x14ac:dyDescent="0.3">
      <c r="A120" s="11">
        <v>3.8</v>
      </c>
      <c r="B120" s="11">
        <f t="shared" si="2"/>
        <v>512712.25529656094</v>
      </c>
    </row>
    <row r="121" spans="1:2" x14ac:dyDescent="0.3">
      <c r="A121" s="11">
        <v>3.85</v>
      </c>
      <c r="B121" s="11">
        <f t="shared" si="2"/>
        <v>488882.05211512878</v>
      </c>
    </row>
    <row r="122" spans="1:2" x14ac:dyDescent="0.3">
      <c r="A122" s="11">
        <v>3.9</v>
      </c>
      <c r="B122" s="11">
        <f t="shared" si="2"/>
        <v>466415.28951160749</v>
      </c>
    </row>
    <row r="123" spans="1:2" x14ac:dyDescent="0.3">
      <c r="A123" s="11">
        <v>3.95</v>
      </c>
      <c r="B123" s="11">
        <f t="shared" si="2"/>
        <v>445219.78574799944</v>
      </c>
    </row>
    <row r="124" spans="1:2" x14ac:dyDescent="0.3">
      <c r="A124" s="11">
        <v>4</v>
      </c>
      <c r="B124" s="11">
        <f t="shared" si="2"/>
        <v>425210.51849482564</v>
      </c>
    </row>
    <row r="125" spans="1:2" x14ac:dyDescent="0.3">
      <c r="A125" s="11">
        <v>4.05</v>
      </c>
      <c r="B125" s="11">
        <f t="shared" si="2"/>
        <v>406308.99920335773</v>
      </c>
    </row>
    <row r="126" spans="1:2" x14ac:dyDescent="0.3">
      <c r="A126" s="11">
        <v>4.0999999999999996</v>
      </c>
      <c r="B126" s="11">
        <f t="shared" si="2"/>
        <v>388442.70801693841</v>
      </c>
    </row>
    <row r="127" spans="1:2" x14ac:dyDescent="0.3">
      <c r="A127" s="11">
        <v>4.1500000000000004</v>
      </c>
      <c r="B127" s="11">
        <f t="shared" si="2"/>
        <v>371544.58281628747</v>
      </c>
    </row>
    <row r="128" spans="1:2" x14ac:dyDescent="0.3">
      <c r="A128" s="11">
        <v>4.2</v>
      </c>
      <c r="B128" s="11">
        <f t="shared" si="2"/>
        <v>355552.55672697513</v>
      </c>
    </row>
    <row r="129" spans="1:2" x14ac:dyDescent="0.3">
      <c r="A129" s="11">
        <v>4.25</v>
      </c>
      <c r="B129" s="11">
        <f t="shared" si="2"/>
        <v>340409.13906047028</v>
      </c>
    </row>
    <row r="130" spans="1:2" x14ac:dyDescent="0.3">
      <c r="A130" s="11">
        <v>4.3</v>
      </c>
      <c r="B130" s="11">
        <f t="shared" si="2"/>
        <v>326061.03522513848</v>
      </c>
    </row>
    <row r="131" spans="1:2" x14ac:dyDescent="0.3">
      <c r="A131" s="11">
        <v>4.3499999999999996</v>
      </c>
      <c r="B131" s="11">
        <f t="shared" si="2"/>
        <v>312458.80164038466</v>
      </c>
    </row>
    <row r="132" spans="1:2" x14ac:dyDescent="0.3">
      <c r="A132" s="11">
        <v>4.4000000000000004</v>
      </c>
      <c r="B132" s="11">
        <f t="shared" si="2"/>
        <v>299556.53212458891</v>
      </c>
    </row>
    <row r="133" spans="1:2" x14ac:dyDescent="0.3">
      <c r="A133" s="11">
        <v>4.45</v>
      </c>
      <c r="B133" s="11">
        <f t="shared" si="2"/>
        <v>287311.57261312701</v>
      </c>
    </row>
    <row r="134" spans="1:2" x14ac:dyDescent="0.3">
      <c r="A134" s="11">
        <v>4.5</v>
      </c>
      <c r="B134" s="11">
        <f t="shared" si="2"/>
        <v>275684.26140312257</v>
      </c>
    </row>
    <row r="135" spans="1:2" x14ac:dyDescent="0.3">
      <c r="A135" s="11">
        <v>4.55</v>
      </c>
      <c r="B135" s="11">
        <f t="shared" si="2"/>
        <v>264637.69242235221</v>
      </c>
    </row>
    <row r="136" spans="1:2" x14ac:dyDescent="0.3">
      <c r="A136" s="11">
        <v>4.5999999999999996</v>
      </c>
      <c r="B136" s="11">
        <f t="shared" si="2"/>
        <v>254137.49928579526</v>
      </c>
    </row>
    <row r="137" spans="1:2" x14ac:dyDescent="0.3">
      <c r="A137" s="11">
        <v>4.6500000000000004</v>
      </c>
      <c r="B137" s="11">
        <f t="shared" si="2"/>
        <v>244151.65813897568</v>
      </c>
    </row>
    <row r="138" spans="1:2" x14ac:dyDescent="0.3">
      <c r="A138" s="11">
        <v>4.7</v>
      </c>
      <c r="B138" s="11">
        <f t="shared" si="2"/>
        <v>234650.30749620113</v>
      </c>
    </row>
    <row r="139" spans="1:2" x14ac:dyDescent="0.3">
      <c r="A139" s="11">
        <v>4.75</v>
      </c>
      <c r="B139" s="11">
        <f t="shared" si="2"/>
        <v>225605.58346727633</v>
      </c>
    </row>
    <row r="140" spans="1:2" x14ac:dyDescent="0.3">
      <c r="A140" s="11">
        <v>4.8</v>
      </c>
      <c r="B140" s="11">
        <f t="shared" si="2"/>
        <v>216991.46893108741</v>
      </c>
    </row>
    <row r="141" spans="1:2" x14ac:dyDescent="0.3">
      <c r="A141" s="11">
        <v>4.8499999999999996</v>
      </c>
      <c r="B141" s="11">
        <f t="shared" si="2"/>
        <v>208783.65536107568</v>
      </c>
    </row>
    <row r="142" spans="1:2" x14ac:dyDescent="0.3">
      <c r="A142" s="11">
        <v>4.9000000000000004</v>
      </c>
      <c r="B142" s="11">
        <f t="shared" ref="B142:B173" si="3">374200000/(A142^5*(EXP(14390/(A142*Temperature))-1))</f>
        <v>200959.41613818004</v>
      </c>
    </row>
    <row r="143" spans="1:2" x14ac:dyDescent="0.3">
      <c r="A143" s="11">
        <v>4.95</v>
      </c>
      <c r="B143" s="11">
        <f t="shared" si="3"/>
        <v>193497.49030322532</v>
      </c>
    </row>
    <row r="144" spans="1:2" x14ac:dyDescent="0.3">
      <c r="A144" s="11">
        <v>5</v>
      </c>
      <c r="B144" s="11">
        <f t="shared" si="3"/>
        <v>186377.97580458861</v>
      </c>
    </row>
    <row r="145" spans="1:2" x14ac:dyDescent="0.3">
      <c r="A145" s="11">
        <v>5.05</v>
      </c>
      <c r="B145" s="11">
        <f t="shared" si="3"/>
        <v>179582.2313897612</v>
      </c>
    </row>
    <row r="146" spans="1:2" x14ac:dyDescent="0.3">
      <c r="A146" s="11">
        <v>5.0999999999999996</v>
      </c>
      <c r="B146" s="11">
        <f t="shared" si="3"/>
        <v>173092.78637236674</v>
      </c>
    </row>
    <row r="147" spans="1:2" x14ac:dyDescent="0.3">
      <c r="A147" s="11">
        <v>5.15</v>
      </c>
      <c r="B147" s="11">
        <f t="shared" si="3"/>
        <v>166893.25758044995</v>
      </c>
    </row>
    <row r="148" spans="1:2" x14ac:dyDescent="0.3">
      <c r="A148" s="11">
        <v>5.2</v>
      </c>
      <c r="B148" s="11">
        <f t="shared" si="3"/>
        <v>160968.27285835936</v>
      </c>
    </row>
    <row r="149" spans="1:2" x14ac:dyDescent="0.3">
      <c r="A149" s="11">
        <v>5.25</v>
      </c>
      <c r="B149" s="11">
        <f t="shared" si="3"/>
        <v>155303.40055419228</v>
      </c>
    </row>
    <row r="150" spans="1:2" x14ac:dyDescent="0.3">
      <c r="A150" s="11">
        <v>5.3</v>
      </c>
      <c r="B150" s="11">
        <f t="shared" si="3"/>
        <v>149885.08447830699</v>
      </c>
    </row>
    <row r="151" spans="1:2" x14ac:dyDescent="0.3">
      <c r="A151" s="11">
        <v>5.35</v>
      </c>
      <c r="B151" s="11">
        <f t="shared" si="3"/>
        <v>144700.58386649776</v>
      </c>
    </row>
    <row r="152" spans="1:2" x14ac:dyDescent="0.3">
      <c r="A152" s="11">
        <v>5.4</v>
      </c>
      <c r="B152" s="11">
        <f t="shared" si="3"/>
        <v>139737.9179246753</v>
      </c>
    </row>
    <row r="153" spans="1:2" x14ac:dyDescent="0.3">
      <c r="A153" s="11">
        <v>5.45</v>
      </c>
      <c r="B153" s="11">
        <f t="shared" si="3"/>
        <v>134985.81457081847</v>
      </c>
    </row>
    <row r="154" spans="1:2" x14ac:dyDescent="0.3">
      <c r="A154" s="11">
        <v>5.5</v>
      </c>
      <c r="B154" s="11">
        <f t="shared" si="3"/>
        <v>130433.66302501617</v>
      </c>
    </row>
    <row r="155" spans="1:2" x14ac:dyDescent="0.3">
      <c r="A155" s="11">
        <v>5.55</v>
      </c>
      <c r="B155" s="11">
        <f t="shared" si="3"/>
        <v>126071.46993003388</v>
      </c>
    </row>
    <row r="156" spans="1:2" x14ac:dyDescent="0.3">
      <c r="A156" s="11">
        <v>5.6</v>
      </c>
      <c r="B156" s="11">
        <f t="shared" si="3"/>
        <v>121889.81871335367</v>
      </c>
    </row>
    <row r="157" spans="1:2" x14ac:dyDescent="0.3">
      <c r="A157" s="11">
        <v>5.65</v>
      </c>
      <c r="B157" s="11">
        <f t="shared" si="3"/>
        <v>117879.83192739481</v>
      </c>
    </row>
    <row r="158" spans="1:2" x14ac:dyDescent="0.3">
      <c r="A158" s="11">
        <v>5.7</v>
      </c>
      <c r="B158" s="11">
        <f t="shared" si="3"/>
        <v>114033.1363279036</v>
      </c>
    </row>
    <row r="159" spans="1:2" x14ac:dyDescent="0.3">
      <c r="A159" s="11">
        <v>5.75</v>
      </c>
      <c r="B159" s="11">
        <f t="shared" si="3"/>
        <v>110341.83047155371</v>
      </c>
    </row>
    <row r="160" spans="1:2" x14ac:dyDescent="0.3">
      <c r="A160" s="11">
        <v>5.8</v>
      </c>
      <c r="B160" s="11">
        <f t="shared" si="3"/>
        <v>106798.45463286627</v>
      </c>
    </row>
    <row r="161" spans="1:2" x14ac:dyDescent="0.3">
      <c r="A161" s="11">
        <v>5.85</v>
      </c>
      <c r="B161" s="11">
        <f t="shared" si="3"/>
        <v>103395.96285782615</v>
      </c>
    </row>
    <row r="162" spans="1:2" x14ac:dyDescent="0.3">
      <c r="A162" s="11">
        <v>5.9</v>
      </c>
      <c r="B162" s="11">
        <f t="shared" si="3"/>
        <v>100127.69698723227</v>
      </c>
    </row>
    <row r="163" spans="1:2" x14ac:dyDescent="0.3">
      <c r="A163" s="11">
        <v>5.95</v>
      </c>
      <c r="B163" s="11">
        <f t="shared" si="3"/>
        <v>96987.362497028866</v>
      </c>
    </row>
    <row r="164" spans="1:2" x14ac:dyDescent="0.3">
      <c r="A164" s="11">
        <v>6</v>
      </c>
      <c r="B164" s="11">
        <f t="shared" si="3"/>
        <v>93969.006015767271</v>
      </c>
    </row>
    <row r="165" spans="1:2" x14ac:dyDescent="0.3">
      <c r="A165" s="11">
        <v>6.05</v>
      </c>
      <c r="B165" s="11">
        <f t="shared" si="3"/>
        <v>91066.994391074521</v>
      </c>
    </row>
    <row r="166" spans="1:2" x14ac:dyDescent="0.3">
      <c r="A166" s="11">
        <v>6.1</v>
      </c>
      <c r="B166" s="11">
        <f t="shared" si="3"/>
        <v>88275.995187668654</v>
      </c>
    </row>
    <row r="167" spans="1:2" x14ac:dyDescent="0.3">
      <c r="A167" s="11">
        <v>6.15</v>
      </c>
      <c r="B167" s="11">
        <f t="shared" si="3"/>
        <v>85590.958509164164</v>
      </c>
    </row>
    <row r="168" spans="1:2" x14ac:dyDescent="0.3">
      <c r="A168" s="11">
        <v>6.2</v>
      </c>
      <c r="B168" s="11">
        <f t="shared" si="3"/>
        <v>83007.100044752398</v>
      </c>
    </row>
    <row r="169" spans="1:2" x14ac:dyDescent="0.3">
      <c r="A169" s="11">
        <v>6.25</v>
      </c>
      <c r="B169" s="11">
        <f t="shared" si="3"/>
        <v>80519.885249891828</v>
      </c>
    </row>
    <row r="170" spans="1:2" x14ac:dyDescent="0.3">
      <c r="A170" s="11">
        <v>6.3</v>
      </c>
      <c r="B170" s="11">
        <f t="shared" si="3"/>
        <v>78125.014577495167</v>
      </c>
    </row>
    <row r="171" spans="1:2" x14ac:dyDescent="0.3">
      <c r="A171" s="11">
        <v>6.35</v>
      </c>
      <c r="B171" s="11">
        <f t="shared" si="3"/>
        <v>75818.409682799509</v>
      </c>
    </row>
    <row r="172" spans="1:2" x14ac:dyDescent="0.3">
      <c r="A172" s="11">
        <v>6.4</v>
      </c>
      <c r="B172" s="11">
        <f t="shared" si="3"/>
        <v>73596.200531230599</v>
      </c>
    </row>
    <row r="173" spans="1:2" x14ac:dyDescent="0.3">
      <c r="A173" s="11">
        <v>6.45</v>
      </c>
      <c r="B173" s="11">
        <f t="shared" si="3"/>
        <v>71454.713344166361</v>
      </c>
    </row>
    <row r="174" spans="1:2" x14ac:dyDescent="0.3">
      <c r="A174" s="11">
        <v>6.5</v>
      </c>
      <c r="B174" s="11">
        <f t="shared" ref="B174:B205" si="4">374200000/(A174^5*(EXP(14390/(A174*Temperature))-1))</f>
        <v>69390.4593226211</v>
      </c>
    </row>
    <row r="175" spans="1:2" x14ac:dyDescent="0.3">
      <c r="A175" s="11">
        <v>6.55</v>
      </c>
      <c r="B175" s="11">
        <f t="shared" si="4"/>
        <v>67400.124093553663</v>
      </c>
    </row>
    <row r="176" spans="1:2" x14ac:dyDescent="0.3">
      <c r="A176" s="11">
        <v>6.6</v>
      </c>
      <c r="B176" s="11">
        <f t="shared" si="4"/>
        <v>65480.557827787889</v>
      </c>
    </row>
    <row r="177" spans="1:2" x14ac:dyDescent="0.3">
      <c r="A177" s="11">
        <v>6.65</v>
      </c>
      <c r="B177" s="11">
        <f t="shared" si="4"/>
        <v>63628.765982461693</v>
      </c>
    </row>
    <row r="178" spans="1:2" x14ac:dyDescent="0.3">
      <c r="A178" s="11">
        <v>6.7</v>
      </c>
      <c r="B178" s="11">
        <f t="shared" si="4"/>
        <v>61841.90062452088</v>
      </c>
    </row>
    <row r="179" spans="1:2" x14ac:dyDescent="0.3">
      <c r="A179" s="11">
        <v>6.75</v>
      </c>
      <c r="B179" s="11">
        <f t="shared" si="4"/>
        <v>60117.252295075305</v>
      </c>
    </row>
    <row r="180" spans="1:2" x14ac:dyDescent="0.3">
      <c r="A180" s="11">
        <v>6.8</v>
      </c>
      <c r="B180" s="11">
        <f t="shared" si="4"/>
        <v>58452.242377467628</v>
      </c>
    </row>
    <row r="181" spans="1:2" x14ac:dyDescent="0.3">
      <c r="A181" s="11">
        <v>6.85</v>
      </c>
      <c r="B181" s="11">
        <f t="shared" si="4"/>
        <v>56844.415934686927</v>
      </c>
    </row>
    <row r="182" spans="1:2" x14ac:dyDescent="0.3">
      <c r="A182" s="11">
        <v>6.9</v>
      </c>
      <c r="B182" s="11">
        <f t="shared" si="4"/>
        <v>55291.434984318279</v>
      </c>
    </row>
    <row r="183" spans="1:2" x14ac:dyDescent="0.3">
      <c r="A183" s="11">
        <v>6.95</v>
      </c>
      <c r="B183" s="11">
        <f t="shared" si="4"/>
        <v>53791.072181571741</v>
      </c>
    </row>
    <row r="184" spans="1:2" x14ac:dyDescent="0.3">
      <c r="A184" s="11">
        <v>7</v>
      </c>
      <c r="B184" s="11">
        <f t="shared" si="4"/>
        <v>52341.204883096878</v>
      </c>
    </row>
    <row r="185" spans="1:2" x14ac:dyDescent="0.3">
      <c r="A185" s="11">
        <v>7.05</v>
      </c>
      <c r="B185" s="11">
        <f t="shared" si="4"/>
        <v>50939.809566282514</v>
      </c>
    </row>
    <row r="186" spans="1:2" x14ac:dyDescent="0.3">
      <c r="A186" s="11">
        <v>7.1</v>
      </c>
      <c r="B186" s="11">
        <f t="shared" si="4"/>
        <v>49584.956580574319</v>
      </c>
    </row>
    <row r="187" spans="1:2" x14ac:dyDescent="0.3">
      <c r="A187" s="11">
        <v>7.15</v>
      </c>
      <c r="B187" s="11">
        <f t="shared" si="4"/>
        <v>48274.805209034261</v>
      </c>
    </row>
    <row r="188" spans="1:2" x14ac:dyDescent="0.3">
      <c r="A188" s="11">
        <v>7.2</v>
      </c>
      <c r="B188" s="11">
        <f t="shared" si="4"/>
        <v>47007.599019924703</v>
      </c>
    </row>
    <row r="189" spans="1:2" x14ac:dyDescent="0.3">
      <c r="A189" s="11">
        <v>7.25</v>
      </c>
      <c r="B189" s="11">
        <f t="shared" si="4"/>
        <v>45781.661489537997</v>
      </c>
    </row>
    <row r="190" spans="1:2" x14ac:dyDescent="0.3">
      <c r="A190" s="11">
        <v>7.3</v>
      </c>
      <c r="B190" s="11">
        <f t="shared" si="4"/>
        <v>44595.391878818635</v>
      </c>
    </row>
    <row r="191" spans="1:2" x14ac:dyDescent="0.3">
      <c r="A191" s="11">
        <v>7.35</v>
      </c>
      <c r="B191" s="11">
        <f t="shared" si="4"/>
        <v>43447.261347553052</v>
      </c>
    </row>
    <row r="192" spans="1:2" x14ac:dyDescent="0.3">
      <c r="A192" s="11">
        <v>7.4</v>
      </c>
      <c r="B192" s="11">
        <f t="shared" si="4"/>
        <v>42335.809291031743</v>
      </c>
    </row>
    <row r="193" spans="1:2" x14ac:dyDescent="0.3">
      <c r="A193" s="11">
        <v>7.45</v>
      </c>
      <c r="B193" s="11">
        <f t="shared" si="4"/>
        <v>41259.639885138269</v>
      </c>
    </row>
    <row r="194" spans="1:2" x14ac:dyDescent="0.3">
      <c r="A194" s="11">
        <v>7.5</v>
      </c>
      <c r="B194" s="11">
        <f t="shared" si="4"/>
        <v>40217.41882678555</v>
      </c>
    </row>
    <row r="195" spans="1:2" x14ac:dyDescent="0.3">
      <c r="A195" s="11">
        <v>7.55</v>
      </c>
      <c r="B195" s="11">
        <f t="shared" si="4"/>
        <v>39207.87025751749</v>
      </c>
    </row>
    <row r="196" spans="1:2" x14ac:dyDescent="0.3">
      <c r="A196" s="11">
        <v>7.6</v>
      </c>
      <c r="B196" s="11">
        <f t="shared" si="4"/>
        <v>38229.773858923225</v>
      </c>
    </row>
    <row r="197" spans="1:2" x14ac:dyDescent="0.3">
      <c r="A197" s="11">
        <v>7.65</v>
      </c>
      <c r="B197" s="11">
        <f t="shared" si="4"/>
        <v>37281.962109279164</v>
      </c>
    </row>
    <row r="198" spans="1:2" x14ac:dyDescent="0.3">
      <c r="A198" s="11">
        <v>7.7</v>
      </c>
      <c r="B198" s="11">
        <f t="shared" si="4"/>
        <v>36363.317691546486</v>
      </c>
    </row>
    <row r="199" spans="1:2" x14ac:dyDescent="0.3">
      <c r="A199" s="11">
        <v>7.75</v>
      </c>
      <c r="B199" s="11">
        <f t="shared" si="4"/>
        <v>35472.771043512003</v>
      </c>
    </row>
    <row r="200" spans="1:2" x14ac:dyDescent="0.3">
      <c r="A200" s="11">
        <v>7.8</v>
      </c>
      <c r="B200" s="11">
        <f t="shared" si="4"/>
        <v>34609.298041472495</v>
      </c>
    </row>
    <row r="201" spans="1:2" x14ac:dyDescent="0.3">
      <c r="A201" s="11">
        <v>7.85</v>
      </c>
      <c r="B201" s="11">
        <f t="shared" si="4"/>
        <v>33771.91780943099</v>
      </c>
    </row>
    <row r="202" spans="1:2" x14ac:dyDescent="0.3">
      <c r="A202" s="11">
        <v>7.9</v>
      </c>
      <c r="B202" s="11">
        <f t="shared" si="4"/>
        <v>32959.690646300958</v>
      </c>
    </row>
    <row r="203" spans="1:2" x14ac:dyDescent="0.3">
      <c r="A203" s="11">
        <v>7.95</v>
      </c>
      <c r="B203" s="11">
        <f t="shared" si="4"/>
        <v>32171.716064104792</v>
      </c>
    </row>
    <row r="204" spans="1:2" x14ac:dyDescent="0.3">
      <c r="A204" s="11">
        <v>8</v>
      </c>
      <c r="B204" s="11">
        <f t="shared" si="4"/>
        <v>31407.13093060756</v>
      </c>
    </row>
    <row r="205" spans="1:2" x14ac:dyDescent="0.3">
      <c r="A205" s="11">
        <v>8.0500000000000007</v>
      </c>
      <c r="B205" s="11">
        <f t="shared" si="4"/>
        <v>30665.10771025157</v>
      </c>
    </row>
    <row r="206" spans="1:2" x14ac:dyDescent="0.3">
      <c r="A206" s="11">
        <v>8.1</v>
      </c>
      <c r="B206" s="11">
        <f t="shared" ref="B206:B237" si="5">374200000/(A206^5*(EXP(14390/(A206*Temperature))-1))</f>
        <v>29944.85279764987</v>
      </c>
    </row>
    <row r="207" spans="1:2" x14ac:dyDescent="0.3">
      <c r="A207" s="11">
        <v>8.15</v>
      </c>
      <c r="B207" s="11">
        <f t="shared" si="5"/>
        <v>29245.604938263838</v>
      </c>
    </row>
    <row r="208" spans="1:2" x14ac:dyDescent="0.3">
      <c r="A208" s="11">
        <v>8.1999999999999993</v>
      </c>
      <c r="B208" s="11">
        <f t="shared" si="5"/>
        <v>28566.633731231039</v>
      </c>
    </row>
    <row r="209" spans="1:2" x14ac:dyDescent="0.3">
      <c r="A209" s="11">
        <v>8.25</v>
      </c>
      <c r="B209" s="11">
        <f t="shared" si="5"/>
        <v>27907.238209626506</v>
      </c>
    </row>
    <row r="210" spans="1:2" x14ac:dyDescent="0.3">
      <c r="A210" s="11">
        <v>8.3000000000000007</v>
      </c>
      <c r="B210" s="11">
        <f t="shared" si="5"/>
        <v>27266.745493737573</v>
      </c>
    </row>
    <row r="211" spans="1:2" x14ac:dyDescent="0.3">
      <c r="A211" s="11">
        <v>8.35</v>
      </c>
      <c r="B211" s="11">
        <f t="shared" si="5"/>
        <v>26644.509513207075</v>
      </c>
    </row>
    <row r="212" spans="1:2" x14ac:dyDescent="0.3">
      <c r="A212" s="11">
        <v>8.4</v>
      </c>
      <c r="B212" s="11">
        <f t="shared" si="5"/>
        <v>26039.909794157236</v>
      </c>
    </row>
    <row r="213" spans="1:2" x14ac:dyDescent="0.3">
      <c r="A213" s="11">
        <v>8.4499999999999993</v>
      </c>
      <c r="B213" s="11">
        <f t="shared" si="5"/>
        <v>25452.35030764703</v>
      </c>
    </row>
    <row r="214" spans="1:2" x14ac:dyDescent="0.3">
      <c r="A214" s="11">
        <v>8.5</v>
      </c>
      <c r="B214" s="11">
        <f t="shared" si="5"/>
        <v>24881.258376038157</v>
      </c>
    </row>
    <row r="215" spans="1:2" x14ac:dyDescent="0.3">
      <c r="A215" s="11">
        <v>8.5500000000000007</v>
      </c>
      <c r="B215" s="11">
        <f t="shared" si="5"/>
        <v>24326.083634055522</v>
      </c>
    </row>
    <row r="216" spans="1:2" x14ac:dyDescent="0.3">
      <c r="A216" s="11">
        <v>8.6</v>
      </c>
      <c r="B216" s="11">
        <f t="shared" si="5"/>
        <v>23786.297041521331</v>
      </c>
    </row>
    <row r="217" spans="1:2" x14ac:dyDescent="0.3">
      <c r="A217" s="11">
        <v>8.65</v>
      </c>
      <c r="B217" s="11">
        <f t="shared" si="5"/>
        <v>23261.389944925748</v>
      </c>
    </row>
    <row r="218" spans="1:2" x14ac:dyDescent="0.3">
      <c r="A218" s="11">
        <v>8.6999999999999993</v>
      </c>
      <c r="B218" s="11">
        <f t="shared" si="5"/>
        <v>22750.873185166496</v>
      </c>
    </row>
    <row r="219" spans="1:2" x14ac:dyDescent="0.3">
      <c r="A219" s="11">
        <v>8.75</v>
      </c>
      <c r="B219" s="11">
        <f t="shared" si="5"/>
        <v>22254.276248949169</v>
      </c>
    </row>
    <row r="220" spans="1:2" x14ac:dyDescent="0.3">
      <c r="A220" s="11">
        <v>8.8000000000000007</v>
      </c>
      <c r="B220" s="11">
        <f t="shared" si="5"/>
        <v>21771.14646148941</v>
      </c>
    </row>
    <row r="221" spans="1:2" x14ac:dyDescent="0.3">
      <c r="A221" s="11">
        <v>8.85</v>
      </c>
      <c r="B221" s="11">
        <f t="shared" si="5"/>
        <v>21301.048218296786</v>
      </c>
    </row>
    <row r="222" spans="1:2" x14ac:dyDescent="0.3">
      <c r="A222" s="11">
        <v>8.9</v>
      </c>
      <c r="B222" s="11">
        <f t="shared" si="5"/>
        <v>20843.562253951175</v>
      </c>
    </row>
    <row r="223" spans="1:2" x14ac:dyDescent="0.3">
      <c r="A223" s="11">
        <v>8.9499999999999993</v>
      </c>
      <c r="B223" s="11">
        <f t="shared" si="5"/>
        <v>20398.284945904572</v>
      </c>
    </row>
    <row r="224" spans="1:2" x14ac:dyDescent="0.3">
      <c r="A224" s="11">
        <v>9</v>
      </c>
      <c r="B224" s="11">
        <f t="shared" si="5"/>
        <v>19964.827651454987</v>
      </c>
    </row>
    <row r="225" spans="1:2" x14ac:dyDescent="0.3">
      <c r="A225" s="11">
        <v>9.0500000000000007</v>
      </c>
      <c r="B225" s="11">
        <f t="shared" si="5"/>
        <v>19542.816076147203</v>
      </c>
    </row>
    <row r="226" spans="1:2" x14ac:dyDescent="0.3">
      <c r="A226" s="11">
        <v>9.1</v>
      </c>
      <c r="B226" s="11">
        <f t="shared" si="5"/>
        <v>19131.889671954938</v>
      </c>
    </row>
    <row r="227" spans="1:2" x14ac:dyDescent="0.3">
      <c r="A227" s="11">
        <v>9.15</v>
      </c>
      <c r="B227" s="11">
        <f t="shared" si="5"/>
        <v>18731.701063693268</v>
      </c>
    </row>
    <row r="228" spans="1:2" x14ac:dyDescent="0.3">
      <c r="A228" s="11">
        <v>9.1999999999999993</v>
      </c>
      <c r="B228" s="11">
        <f t="shared" si="5"/>
        <v>18341.915502198812</v>
      </c>
    </row>
    <row r="229" spans="1:2" x14ac:dyDescent="0.3">
      <c r="A229" s="11">
        <v>9.25</v>
      </c>
      <c r="B229" s="11">
        <f t="shared" si="5"/>
        <v>17962.210342897564</v>
      </c>
    </row>
    <row r="230" spans="1:2" x14ac:dyDescent="0.3">
      <c r="A230" s="11">
        <v>9.3000000000000007</v>
      </c>
      <c r="B230" s="11">
        <f t="shared" si="5"/>
        <v>17592.274548458579</v>
      </c>
    </row>
    <row r="231" spans="1:2" x14ac:dyDescent="0.3">
      <c r="A231" s="11">
        <v>9.35</v>
      </c>
      <c r="B231" s="11">
        <f t="shared" si="5"/>
        <v>17231.808214304263</v>
      </c>
    </row>
    <row r="232" spans="1:2" x14ac:dyDescent="0.3">
      <c r="A232" s="11">
        <v>9.4</v>
      </c>
      <c r="B232" s="11">
        <f t="shared" si="5"/>
        <v>16880.522115816861</v>
      </c>
    </row>
    <row r="233" spans="1:2" x14ac:dyDescent="0.3">
      <c r="A233" s="11">
        <v>9.4499999999999993</v>
      </c>
      <c r="B233" s="11">
        <f t="shared" si="5"/>
        <v>16538.137276145349</v>
      </c>
    </row>
    <row r="234" spans="1:2" x14ac:dyDescent="0.3">
      <c r="A234" s="11">
        <v>9.5</v>
      </c>
      <c r="B234" s="11">
        <f t="shared" si="5"/>
        <v>16204.384553576925</v>
      </c>
    </row>
    <row r="235" spans="1:2" x14ac:dyDescent="0.3">
      <c r="A235" s="11">
        <v>9.5500000000000007</v>
      </c>
      <c r="B235" s="11">
        <f t="shared" si="5"/>
        <v>15879.004247494864</v>
      </c>
    </row>
    <row r="236" spans="1:2" x14ac:dyDescent="0.3">
      <c r="A236" s="11">
        <v>9.6</v>
      </c>
      <c r="B236" s="11">
        <f t="shared" si="5"/>
        <v>15561.745721997655</v>
      </c>
    </row>
    <row r="237" spans="1:2" x14ac:dyDescent="0.3">
      <c r="A237" s="11">
        <v>9.65</v>
      </c>
      <c r="B237" s="11">
        <f t="shared" si="5"/>
        <v>15252.367046304629</v>
      </c>
    </row>
    <row r="238" spans="1:2" x14ac:dyDescent="0.3">
      <c r="A238" s="11">
        <v>9.6999999999999993</v>
      </c>
      <c r="B238" s="11">
        <f t="shared" ref="B238:B301" si="6">374200000/(A238^5*(EXP(14390/(A238*Temperature))-1))</f>
        <v>14950.63465112118</v>
      </c>
    </row>
    <row r="239" spans="1:2" x14ac:dyDescent="0.3">
      <c r="A239" s="11">
        <v>9.75</v>
      </c>
      <c r="B239" s="11">
        <f t="shared" si="6"/>
        <v>14656.323000180464</v>
      </c>
    </row>
    <row r="240" spans="1:2" x14ac:dyDescent="0.3">
      <c r="A240" s="11">
        <v>9.8000000000000007</v>
      </c>
      <c r="B240" s="11">
        <f t="shared" si="6"/>
        <v>14369.214276221272</v>
      </c>
    </row>
    <row r="241" spans="1:2" x14ac:dyDescent="0.3">
      <c r="A241" s="11">
        <v>9.85</v>
      </c>
      <c r="B241" s="11">
        <f t="shared" si="6"/>
        <v>14089.098080700809</v>
      </c>
    </row>
    <row r="242" spans="1:2" x14ac:dyDescent="0.3">
      <c r="A242" s="11">
        <v>9.9</v>
      </c>
      <c r="B242" s="11">
        <f t="shared" si="6"/>
        <v>13815.7711465784</v>
      </c>
    </row>
    <row r="243" spans="1:2" x14ac:dyDescent="0.3">
      <c r="A243" s="11">
        <v>9.9499999999999993</v>
      </c>
      <c r="B243" s="11">
        <f t="shared" si="6"/>
        <v>13549.03706354158</v>
      </c>
    </row>
    <row r="244" spans="1:2" x14ac:dyDescent="0.3">
      <c r="A244" s="11">
        <v>10</v>
      </c>
      <c r="B244" s="11">
        <f t="shared" si="6"/>
        <v>13288.706015078671</v>
      </c>
    </row>
    <row r="245" spans="1:2" x14ac:dyDescent="0.3">
      <c r="A245" s="11">
        <v>10.050000000000001</v>
      </c>
      <c r="B245" s="11">
        <f t="shared" si="6"/>
        <v>13034.594526833569</v>
      </c>
    </row>
    <row r="246" spans="1:2" x14ac:dyDescent="0.3">
      <c r="A246" s="11">
        <v>10.1</v>
      </c>
      <c r="B246" s="11">
        <f t="shared" si="6"/>
        <v>12786.525225707477</v>
      </c>
    </row>
    <row r="247" spans="1:2" x14ac:dyDescent="0.3">
      <c r="A247" s="11">
        <v>10.15</v>
      </c>
      <c r="B247" s="11">
        <f t="shared" si="6"/>
        <v>12544.326609200541</v>
      </c>
    </row>
    <row r="248" spans="1:2" x14ac:dyDescent="0.3">
      <c r="A248" s="11">
        <v>10.199999999999999</v>
      </c>
      <c r="B248" s="11">
        <f t="shared" si="6"/>
        <v>12307.832824512079</v>
      </c>
    </row>
    <row r="249" spans="1:2" x14ac:dyDescent="0.3">
      <c r="A249" s="11">
        <v>10.25</v>
      </c>
      <c r="B249" s="11">
        <f t="shared" si="6"/>
        <v>12076.883456943229</v>
      </c>
    </row>
    <row r="250" spans="1:2" x14ac:dyDescent="0.3">
      <c r="A250" s="11">
        <v>10.3</v>
      </c>
      <c r="B250" s="11">
        <f t="shared" si="6"/>
        <v>11851.323327168926</v>
      </c>
    </row>
    <row r="251" spans="1:2" x14ac:dyDescent="0.3">
      <c r="A251" s="11">
        <v>10.35</v>
      </c>
      <c r="B251" s="11">
        <f t="shared" si="6"/>
        <v>11631.002296968301</v>
      </c>
    </row>
    <row r="252" spans="1:2" x14ac:dyDescent="0.3">
      <c r="A252" s="11">
        <v>10.4</v>
      </c>
      <c r="B252" s="11">
        <f t="shared" si="6"/>
        <v>11415.775083023342</v>
      </c>
    </row>
    <row r="253" spans="1:2" x14ac:dyDescent="0.3">
      <c r="A253" s="11">
        <v>10.45</v>
      </c>
      <c r="B253" s="11">
        <f t="shared" si="6"/>
        <v>11205.501078415535</v>
      </c>
    </row>
    <row r="254" spans="1:2" x14ac:dyDescent="0.3">
      <c r="A254" s="11">
        <v>10.5</v>
      </c>
      <c r="B254" s="11">
        <f t="shared" si="6"/>
        <v>11000.044181468416</v>
      </c>
    </row>
    <row r="255" spans="1:2" x14ac:dyDescent="0.3">
      <c r="A255" s="11">
        <v>10.55</v>
      </c>
      <c r="B255" s="11">
        <f t="shared" si="6"/>
        <v>10799.272631602229</v>
      </c>
    </row>
    <row r="256" spans="1:2" x14ac:dyDescent="0.3">
      <c r="A256" s="11">
        <v>10.6</v>
      </c>
      <c r="B256" s="11">
        <f t="shared" si="6"/>
        <v>10603.058851882688</v>
      </c>
    </row>
    <row r="257" spans="1:2" x14ac:dyDescent="0.3">
      <c r="A257" s="11">
        <v>10.65</v>
      </c>
      <c r="B257" s="11">
        <f t="shared" si="6"/>
        <v>10411.279297962295</v>
      </c>
    </row>
    <row r="258" spans="1:2" x14ac:dyDescent="0.3">
      <c r="A258" s="11">
        <v>10.7</v>
      </c>
      <c r="B258" s="11">
        <f t="shared" si="6"/>
        <v>10223.814313127232</v>
      </c>
    </row>
    <row r="259" spans="1:2" x14ac:dyDescent="0.3">
      <c r="A259" s="11">
        <v>10.75</v>
      </c>
      <c r="B259" s="11">
        <f t="shared" si="6"/>
        <v>10040.547989176861</v>
      </c>
    </row>
    <row r="260" spans="1:2" x14ac:dyDescent="0.3">
      <c r="A260" s="11">
        <v>10.8</v>
      </c>
      <c r="B260" s="11">
        <f t="shared" si="6"/>
        <v>9861.3680328765822</v>
      </c>
    </row>
    <row r="261" spans="1:2" x14ac:dyDescent="0.3">
      <c r="A261" s="11">
        <v>10.85</v>
      </c>
      <c r="B261" s="11">
        <f t="shared" si="6"/>
        <v>9686.1656377369345</v>
      </c>
    </row>
    <row r="262" spans="1:2" x14ac:dyDescent="0.3">
      <c r="A262" s="11">
        <v>10.9</v>
      </c>
      <c r="B262" s="11">
        <f t="shared" si="6"/>
        <v>9514.8353608842244</v>
      </c>
    </row>
    <row r="263" spans="1:2" x14ac:dyDescent="0.3">
      <c r="A263" s="11">
        <v>10.95</v>
      </c>
      <c r="B263" s="11">
        <f t="shared" si="6"/>
        <v>9347.2750047990739</v>
      </c>
    </row>
    <row r="264" spans="1:2" x14ac:dyDescent="0.3">
      <c r="A264" s="11">
        <v>11</v>
      </c>
      <c r="B264" s="11">
        <f t="shared" si="6"/>
        <v>9183.3855037101021</v>
      </c>
    </row>
    <row r="265" spans="1:2" x14ac:dyDescent="0.3">
      <c r="A265" s="11">
        <v>11.05</v>
      </c>
      <c r="B265" s="11">
        <f t="shared" si="6"/>
        <v>9023.070814440116</v>
      </c>
    </row>
    <row r="266" spans="1:2" x14ac:dyDescent="0.3">
      <c r="A266" s="11">
        <v>11.1</v>
      </c>
      <c r="B266" s="11">
        <f t="shared" si="6"/>
        <v>8866.237811511839</v>
      </c>
    </row>
    <row r="267" spans="1:2" x14ac:dyDescent="0.3">
      <c r="A267" s="11">
        <v>11.15</v>
      </c>
      <c r="B267" s="11">
        <f t="shared" si="6"/>
        <v>8712.7961863293203</v>
      </c>
    </row>
    <row r="268" spans="1:2" x14ac:dyDescent="0.3">
      <c r="A268" s="11">
        <v>11.2</v>
      </c>
      <c r="B268" s="11">
        <f t="shared" si="6"/>
        <v>8562.6583502600643</v>
      </c>
    </row>
    <row r="269" spans="1:2" x14ac:dyDescent="0.3">
      <c r="A269" s="11">
        <v>11.25</v>
      </c>
      <c r="B269" s="11">
        <f t="shared" si="6"/>
        <v>8415.7393414507678</v>
      </c>
    </row>
    <row r="270" spans="1:2" x14ac:dyDescent="0.3">
      <c r="A270" s="11">
        <v>11.3</v>
      </c>
      <c r="B270" s="11">
        <f t="shared" si="6"/>
        <v>8271.9567352177564</v>
      </c>
    </row>
    <row r="271" spans="1:2" x14ac:dyDescent="0.3">
      <c r="A271" s="11">
        <v>11.35</v>
      </c>
      <c r="B271" s="11">
        <f t="shared" si="6"/>
        <v>8131.2305578603964</v>
      </c>
    </row>
    <row r="272" spans="1:2" x14ac:dyDescent="0.3">
      <c r="A272" s="11">
        <v>11.4</v>
      </c>
      <c r="B272" s="11">
        <f t="shared" si="6"/>
        <v>7993.4832037529131</v>
      </c>
    </row>
    <row r="273" spans="1:2" x14ac:dyDescent="0.3">
      <c r="A273" s="11">
        <v>11.45</v>
      </c>
      <c r="B273" s="11">
        <f t="shared" si="6"/>
        <v>7858.6393555766717</v>
      </c>
    </row>
    <row r="274" spans="1:2" x14ac:dyDescent="0.3">
      <c r="A274" s="11">
        <v>11.5</v>
      </c>
      <c r="B274" s="11">
        <f t="shared" si="6"/>
        <v>7726.6259075613361</v>
      </c>
    </row>
    <row r="275" spans="1:2" x14ac:dyDescent="0.3">
      <c r="A275" s="11">
        <v>11.55</v>
      </c>
      <c r="B275" s="11">
        <f t="shared" si="6"/>
        <v>7597.3718916094485</v>
      </c>
    </row>
    <row r="276" spans="1:2" x14ac:dyDescent="0.3">
      <c r="A276" s="11">
        <v>11.6</v>
      </c>
      <c r="B276" s="11">
        <f t="shared" si="6"/>
        <v>7470.808406184572</v>
      </c>
    </row>
    <row r="277" spans="1:2" x14ac:dyDescent="0.3">
      <c r="A277" s="11">
        <v>11.65</v>
      </c>
      <c r="B277" s="11">
        <f t="shared" si="6"/>
        <v>7346.8685478486223</v>
      </c>
    </row>
    <row r="278" spans="1:2" x14ac:dyDescent="0.3">
      <c r="A278" s="11">
        <v>11.7</v>
      </c>
      <c r="B278" s="11">
        <f t="shared" si="6"/>
        <v>7225.4873453393284</v>
      </c>
    </row>
    <row r="279" spans="1:2" x14ac:dyDescent="0.3">
      <c r="A279" s="11">
        <v>11.75</v>
      </c>
      <c r="B279" s="11">
        <f t="shared" si="6"/>
        <v>7106.6016960834741</v>
      </c>
    </row>
    <row r="280" spans="1:2" x14ac:dyDescent="0.3">
      <c r="A280" s="11">
        <v>11.8</v>
      </c>
      <c r="B280" s="11">
        <f t="shared" si="6"/>
        <v>6990.1503050464562</v>
      </c>
    </row>
    <row r="281" spans="1:2" x14ac:dyDescent="0.3">
      <c r="A281" s="11">
        <v>11.85</v>
      </c>
      <c r="B281" s="11">
        <f t="shared" si="6"/>
        <v>6876.0736258229572</v>
      </c>
    </row>
    <row r="282" spans="1:2" x14ac:dyDescent="0.3">
      <c r="A282" s="11">
        <v>11.9</v>
      </c>
      <c r="B282" s="11">
        <f t="shared" si="6"/>
        <v>6764.3138038779607</v>
      </c>
    </row>
    <row r="283" spans="1:2" x14ac:dyDescent="0.3">
      <c r="A283" s="11">
        <v>11.95</v>
      </c>
      <c r="B283" s="11">
        <f t="shared" si="6"/>
        <v>6654.8146218512957</v>
      </c>
    </row>
    <row r="284" spans="1:2" x14ac:dyDescent="0.3">
      <c r="A284" s="11">
        <v>12</v>
      </c>
      <c r="B284" s="11">
        <f t="shared" si="6"/>
        <v>6547.5214468425829</v>
      </c>
    </row>
    <row r="285" spans="1:2" x14ac:dyDescent="0.3">
      <c r="A285" s="11">
        <v>12.05</v>
      </c>
      <c r="B285" s="11">
        <f t="shared" si="6"/>
        <v>6442.3811795974461</v>
      </c>
    </row>
    <row r="286" spans="1:2" x14ac:dyDescent="0.3">
      <c r="A286" s="11">
        <v>12.1</v>
      </c>
      <c r="B286" s="11">
        <f t="shared" si="6"/>
        <v>6339.3422055189685</v>
      </c>
    </row>
    <row r="287" spans="1:2" x14ac:dyDescent="0.3">
      <c r="A287" s="11">
        <v>12.15</v>
      </c>
      <c r="B287" s="11">
        <f t="shared" si="6"/>
        <v>6238.3543474319695</v>
      </c>
    </row>
    <row r="288" spans="1:2" x14ac:dyDescent="0.3">
      <c r="A288" s="11">
        <v>12.2</v>
      </c>
      <c r="B288" s="11">
        <f t="shared" si="6"/>
        <v>6139.3688200306815</v>
      </c>
    </row>
    <row r="289" spans="1:2" x14ac:dyDescent="0.3">
      <c r="A289" s="11">
        <v>12.25</v>
      </c>
      <c r="B289" s="11">
        <f t="shared" si="6"/>
        <v>6042.3381859434003</v>
      </c>
    </row>
    <row r="290" spans="1:2" x14ac:dyDescent="0.3">
      <c r="A290" s="11">
        <v>12.3</v>
      </c>
      <c r="B290" s="11">
        <f t="shared" si="6"/>
        <v>5947.2163133507593</v>
      </c>
    </row>
    <row r="291" spans="1:2" x14ac:dyDescent="0.3">
      <c r="A291" s="11">
        <v>12.35</v>
      </c>
      <c r="B291" s="11">
        <f t="shared" si="6"/>
        <v>5853.9583350966359</v>
      </c>
    </row>
    <row r="292" spans="1:2" x14ac:dyDescent="0.3">
      <c r="A292" s="11">
        <v>12.4</v>
      </c>
      <c r="B292" s="11">
        <f t="shared" si="6"/>
        <v>5762.5206092337021</v>
      </c>
    </row>
    <row r="293" spans="1:2" x14ac:dyDescent="0.3">
      <c r="A293" s="11">
        <v>12.45</v>
      </c>
      <c r="B293" s="11">
        <f t="shared" si="6"/>
        <v>5672.8606809478888</v>
      </c>
    </row>
    <row r="294" spans="1:2" x14ac:dyDescent="0.3">
      <c r="A294" s="11">
        <v>12.5</v>
      </c>
      <c r="B294" s="11">
        <f t="shared" si="6"/>
        <v>5584.9372458083089</v>
      </c>
    </row>
    <row r="295" spans="1:2" x14ac:dyDescent="0.3">
      <c r="A295" s="11">
        <v>12.55</v>
      </c>
      <c r="B295" s="11">
        <f t="shared" si="6"/>
        <v>5498.7101142918564</v>
      </c>
    </row>
    <row r="296" spans="1:2" x14ac:dyDescent="0.3">
      <c r="A296" s="11">
        <v>12.6</v>
      </c>
      <c r="B296" s="11">
        <f t="shared" si="6"/>
        <v>5414.1401775332588</v>
      </c>
    </row>
    <row r="297" spans="1:2" x14ac:dyDescent="0.3">
      <c r="A297" s="11">
        <v>12.649999999999901</v>
      </c>
      <c r="B297" s="11">
        <f t="shared" si="6"/>
        <v>5331.1893742540879</v>
      </c>
    </row>
    <row r="298" spans="1:2" x14ac:dyDescent="0.3">
      <c r="A298" s="11">
        <v>12.6999999999999</v>
      </c>
      <c r="B298" s="11">
        <f t="shared" si="6"/>
        <v>5249.8206588249013</v>
      </c>
    </row>
    <row r="299" spans="1:2" x14ac:dyDescent="0.3">
      <c r="A299" s="11">
        <v>12.749999999999901</v>
      </c>
      <c r="B299" s="11">
        <f t="shared" si="6"/>
        <v>5169.9979704197285</v>
      </c>
    </row>
    <row r="300" spans="1:2" x14ac:dyDescent="0.3">
      <c r="A300" s="11">
        <v>12.799999999999899</v>
      </c>
      <c r="B300" s="11">
        <f t="shared" si="6"/>
        <v>5091.6862032186727</v>
      </c>
    </row>
    <row r="301" spans="1:2" x14ac:dyDescent="0.3">
      <c r="A301" s="11">
        <v>12.8499999999999</v>
      </c>
      <c r="B301" s="11">
        <f t="shared" si="6"/>
        <v>5014.8511776213081</v>
      </c>
    </row>
    <row r="302" spans="1:2" x14ac:dyDescent="0.3">
      <c r="A302" s="11">
        <v>12.899999999999901</v>
      </c>
      <c r="B302" s="11">
        <f t="shared" ref="B302:B365" si="7">374200000/(A302^5*(EXP(14390/(A302*Temperature))-1))</f>
        <v>4939.4596124322143</v>
      </c>
    </row>
    <row r="303" spans="1:2" x14ac:dyDescent="0.3">
      <c r="A303" s="11">
        <v>12.9499999999999</v>
      </c>
      <c r="B303" s="11">
        <f t="shared" si="7"/>
        <v>4865.479097982331</v>
      </c>
    </row>
    <row r="304" spans="1:2" x14ac:dyDescent="0.3">
      <c r="A304" s="11">
        <v>12.999999999999901</v>
      </c>
      <c r="B304" s="11">
        <f t="shared" si="7"/>
        <v>4792.8780701513524</v>
      </c>
    </row>
    <row r="305" spans="1:2" x14ac:dyDescent="0.3">
      <c r="A305" s="11">
        <v>13.049999999999899</v>
      </c>
      <c r="B305" s="11">
        <f t="shared" si="7"/>
        <v>4721.6257852577237</v>
      </c>
    </row>
    <row r="306" spans="1:2" x14ac:dyDescent="0.3">
      <c r="A306" s="11">
        <v>13.0999999999999</v>
      </c>
      <c r="B306" s="11">
        <f t="shared" si="7"/>
        <v>4651.6922957841753</v>
      </c>
    </row>
    <row r="307" spans="1:2" x14ac:dyDescent="0.3">
      <c r="A307" s="11">
        <v>13.149999999999901</v>
      </c>
      <c r="B307" s="11">
        <f t="shared" si="7"/>
        <v>4583.0484269079961</v>
      </c>
    </row>
    <row r="308" spans="1:2" x14ac:dyDescent="0.3">
      <c r="A308" s="11">
        <v>13.1999999999999</v>
      </c>
      <c r="B308" s="11">
        <f t="shared" si="7"/>
        <v>4515.6657538066102</v>
      </c>
    </row>
    <row r="309" spans="1:2" x14ac:dyDescent="0.3">
      <c r="A309" s="11">
        <v>13.249999999999901</v>
      </c>
      <c r="B309" s="11">
        <f t="shared" si="7"/>
        <v>4449.5165797099562</v>
      </c>
    </row>
    <row r="310" spans="1:2" x14ac:dyDescent="0.3">
      <c r="A310" s="11">
        <v>13.299999999999899</v>
      </c>
      <c r="B310" s="11">
        <f t="shared" si="7"/>
        <v>4384.5739146726537</v>
      </c>
    </row>
    <row r="311" spans="1:2" x14ac:dyDescent="0.3">
      <c r="A311" s="11">
        <v>13.3499999999999</v>
      </c>
      <c r="B311" s="11">
        <f t="shared" si="7"/>
        <v>4320.8114550396949</v>
      </c>
    </row>
    <row r="312" spans="1:2" x14ac:dyDescent="0.3">
      <c r="A312" s="11">
        <v>13.399999999999901</v>
      </c>
      <c r="B312" s="11">
        <f t="shared" si="7"/>
        <v>4258.2035635806424</v>
      </c>
    </row>
    <row r="313" spans="1:2" x14ac:dyDescent="0.3">
      <c r="A313" s="11">
        <v>13.4499999999999</v>
      </c>
      <c r="B313" s="11">
        <f t="shared" si="7"/>
        <v>4196.7252502682322</v>
      </c>
    </row>
    <row r="314" spans="1:2" x14ac:dyDescent="0.3">
      <c r="A314" s="11">
        <v>13.499999999999901</v>
      </c>
      <c r="B314" s="11">
        <f t="shared" si="7"/>
        <v>4136.3521536782782</v>
      </c>
    </row>
    <row r="315" spans="1:2" x14ac:dyDescent="0.3">
      <c r="A315" s="11">
        <v>13.549999999999899</v>
      </c>
      <c r="B315" s="11">
        <f t="shared" si="7"/>
        <v>4077.0605229885655</v>
      </c>
    </row>
    <row r="316" spans="1:2" x14ac:dyDescent="0.3">
      <c r="A316" s="11">
        <v>13.5999999999999</v>
      </c>
      <c r="B316" s="11">
        <f t="shared" si="7"/>
        <v>4018.8272005554868</v>
      </c>
    </row>
    <row r="317" spans="1:2" x14ac:dyDescent="0.3">
      <c r="A317" s="11">
        <v>13.649999999999901</v>
      </c>
      <c r="B317" s="11">
        <f t="shared" si="7"/>
        <v>3961.6296050478563</v>
      </c>
    </row>
    <row r="318" spans="1:2" x14ac:dyDescent="0.3">
      <c r="A318" s="11">
        <v>13.6999999999999</v>
      </c>
      <c r="B318" s="11">
        <f t="shared" si="7"/>
        <v>3905.4457151181282</v>
      </c>
    </row>
    <row r="319" spans="1:2" x14ac:dyDescent="0.3">
      <c r="A319" s="11">
        <v>13.749999999999901</v>
      </c>
      <c r="B319" s="11">
        <f t="shared" si="7"/>
        <v>3850.2540535921371</v>
      </c>
    </row>
    <row r="320" spans="1:2" x14ac:dyDescent="0.3">
      <c r="A320" s="11">
        <v>13.799999999999899</v>
      </c>
      <c r="B320" s="11">
        <f t="shared" si="7"/>
        <v>3796.033672159137</v>
      </c>
    </row>
    <row r="321" spans="1:2" x14ac:dyDescent="0.3">
      <c r="A321" s="11">
        <v>13.8499999999999</v>
      </c>
      <c r="B321" s="11">
        <f t="shared" si="7"/>
        <v>3742.7641365445256</v>
      </c>
    </row>
    <row r="322" spans="1:2" x14ac:dyDescent="0.3">
      <c r="A322" s="11">
        <v>13.899999999999901</v>
      </c>
      <c r="B322" s="11">
        <f t="shared" si="7"/>
        <v>3690.425512148533</v>
      </c>
    </row>
    <row r="323" spans="1:2" x14ac:dyDescent="0.3">
      <c r="A323" s="11">
        <v>13.9499999999999</v>
      </c>
      <c r="B323" s="11">
        <f t="shared" si="7"/>
        <v>3638.9983501345632</v>
      </c>
    </row>
    <row r="324" spans="1:2" x14ac:dyDescent="0.3">
      <c r="A324" s="11">
        <v>13.999999999999901</v>
      </c>
      <c r="B324" s="11">
        <f t="shared" si="7"/>
        <v>3588.4636739516422</v>
      </c>
    </row>
    <row r="325" spans="1:2" x14ac:dyDescent="0.3">
      <c r="A325" s="11">
        <v>14.049999999999899</v>
      </c>
      <c r="B325" s="11">
        <f t="shared" si="7"/>
        <v>3538.8029662760296</v>
      </c>
    </row>
    <row r="326" spans="1:2" x14ac:dyDescent="0.3">
      <c r="A326" s="11">
        <v>14.0999999999999</v>
      </c>
      <c r="B326" s="11">
        <f t="shared" si="7"/>
        <v>3489.9981563574224</v>
      </c>
    </row>
    <row r="327" spans="1:2" x14ac:dyDescent="0.3">
      <c r="A327" s="11">
        <v>14.149999999999901</v>
      </c>
      <c r="B327" s="11">
        <f t="shared" si="7"/>
        <v>3442.0316077560733</v>
      </c>
    </row>
    <row r="328" spans="1:2" x14ac:dyDescent="0.3">
      <c r="A328" s="11">
        <v>14.1999999999999</v>
      </c>
      <c r="B328" s="11">
        <f t="shared" si="7"/>
        <v>3394.8861064572393</v>
      </c>
    </row>
    <row r="329" spans="1:2" x14ac:dyDescent="0.3">
      <c r="A329" s="11">
        <v>14.249999999999901</v>
      </c>
      <c r="B329" s="11">
        <f t="shared" si="7"/>
        <v>3348.5448493502854</v>
      </c>
    </row>
    <row r="330" spans="1:2" x14ac:dyDescent="0.3">
      <c r="A330" s="11">
        <v>14.299999999999899</v>
      </c>
      <c r="B330" s="11">
        <f t="shared" si="7"/>
        <v>3302.9914330599672</v>
      </c>
    </row>
    <row r="331" spans="1:2" x14ac:dyDescent="0.3">
      <c r="A331" s="11">
        <v>14.3499999999999</v>
      </c>
      <c r="B331" s="11">
        <f t="shared" si="7"/>
        <v>3258.209843117967</v>
      </c>
    </row>
    <row r="332" spans="1:2" x14ac:dyDescent="0.3">
      <c r="A332" s="11">
        <v>14.399999999999901</v>
      </c>
      <c r="B332" s="11">
        <f t="shared" si="7"/>
        <v>3214.1844434632744</v>
      </c>
    </row>
    <row r="333" spans="1:2" x14ac:dyDescent="0.3">
      <c r="A333" s="11">
        <v>14.4499999999999</v>
      </c>
      <c r="B333" s="11">
        <f t="shared" si="7"/>
        <v>3170.8999662602728</v>
      </c>
    </row>
    <row r="334" spans="1:2" x14ac:dyDescent="0.3">
      <c r="A334" s="11">
        <v>14.499999999999901</v>
      </c>
      <c r="B334" s="11">
        <f t="shared" si="7"/>
        <v>3128.34150202397</v>
      </c>
    </row>
    <row r="335" spans="1:2" x14ac:dyDescent="0.3">
      <c r="A335" s="11">
        <v>14.549999999999899</v>
      </c>
      <c r="B335" s="11">
        <f t="shared" si="7"/>
        <v>3086.4944900420405</v>
      </c>
    </row>
    <row r="336" spans="1:2" x14ac:dyDescent="0.3">
      <c r="A336" s="11">
        <v>14.5999999999999</v>
      </c>
      <c r="B336" s="11">
        <f t="shared" si="7"/>
        <v>3045.3447090838722</v>
      </c>
    </row>
    <row r="337" spans="1:2" x14ac:dyDescent="0.3">
      <c r="A337" s="11">
        <v>14.649999999999901</v>
      </c>
      <c r="B337" s="11">
        <f t="shared" si="7"/>
        <v>3004.8782683870154</v>
      </c>
    </row>
    <row r="338" spans="1:2" x14ac:dyDescent="0.3">
      <c r="A338" s="11">
        <v>14.6999999999999</v>
      </c>
      <c r="B338" s="11">
        <f t="shared" si="7"/>
        <v>2965.0815989119624</v>
      </c>
    </row>
    <row r="339" spans="1:2" x14ac:dyDescent="0.3">
      <c r="A339" s="11">
        <v>14.749999999999901</v>
      </c>
      <c r="B339" s="11">
        <f t="shared" si="7"/>
        <v>2925.9414448563084</v>
      </c>
    </row>
    <row r="340" spans="1:2" x14ac:dyDescent="0.3">
      <c r="A340" s="11">
        <v>14.799999999999899</v>
      </c>
      <c r="B340" s="11">
        <f t="shared" si="7"/>
        <v>2887.4448554198748</v>
      </c>
    </row>
    <row r="341" spans="1:2" x14ac:dyDescent="0.3">
      <c r="A341" s="11">
        <v>14.8499999999999</v>
      </c>
      <c r="B341" s="11">
        <f t="shared" si="7"/>
        <v>2849.5791768125</v>
      </c>
    </row>
    <row r="342" spans="1:2" x14ac:dyDescent="0.3">
      <c r="A342" s="11">
        <v>14.899999999999901</v>
      </c>
      <c r="B342" s="11">
        <f t="shared" si="7"/>
        <v>2812.3320444966166</v>
      </c>
    </row>
    <row r="343" spans="1:2" x14ac:dyDescent="0.3">
      <c r="A343" s="11">
        <v>14.9499999999999</v>
      </c>
      <c r="B343" s="11">
        <f t="shared" si="7"/>
        <v>2775.6913756569825</v>
      </c>
    </row>
    <row r="344" spans="1:2" x14ac:dyDescent="0.3">
      <c r="A344" s="11">
        <v>14.999999999999901</v>
      </c>
      <c r="B344" s="11">
        <f t="shared" si="7"/>
        <v>2739.6453618901664</v>
      </c>
    </row>
    <row r="345" spans="1:2" x14ac:dyDescent="0.3">
      <c r="A345" s="11">
        <v>15.049999999999899</v>
      </c>
      <c r="B345" s="11">
        <f t="shared" si="7"/>
        <v>2704.1824621067522</v>
      </c>
    </row>
    <row r="346" spans="1:2" x14ac:dyDescent="0.3">
      <c r="A346" s="11">
        <v>15.0999999999999</v>
      </c>
      <c r="B346" s="11">
        <f t="shared" si="7"/>
        <v>2669.291395639319</v>
      </c>
    </row>
    <row r="347" spans="1:2" x14ac:dyDescent="0.3">
      <c r="A347" s="11">
        <v>15.149999999999901</v>
      </c>
      <c r="B347" s="11">
        <f t="shared" si="7"/>
        <v>2634.9611355496704</v>
      </c>
    </row>
    <row r="348" spans="1:2" x14ac:dyDescent="0.3">
      <c r="A348" s="11">
        <v>15.1999999999999</v>
      </c>
      <c r="B348" s="11">
        <f t="shared" si="7"/>
        <v>2601.1809021288991</v>
      </c>
    </row>
    <row r="349" spans="1:2" x14ac:dyDescent="0.3">
      <c r="A349" s="11">
        <v>15.249999999999901</v>
      </c>
      <c r="B349" s="11">
        <f t="shared" si="7"/>
        <v>2567.9401565841199</v>
      </c>
    </row>
    <row r="350" spans="1:2" x14ac:dyDescent="0.3">
      <c r="A350" s="11">
        <v>15.299999999999899</v>
      </c>
      <c r="B350" s="11">
        <f t="shared" si="7"/>
        <v>2535.228594905996</v>
      </c>
    </row>
    <row r="351" spans="1:2" x14ac:dyDescent="0.3">
      <c r="A351" s="11">
        <v>15.3499999999999</v>
      </c>
      <c r="B351" s="11">
        <f t="shared" si="7"/>
        <v>2503.0361419112191</v>
      </c>
    </row>
    <row r="352" spans="1:2" x14ac:dyDescent="0.3">
      <c r="A352" s="11">
        <v>15.399999999999901</v>
      </c>
      <c r="B352" s="11">
        <f t="shared" si="7"/>
        <v>2471.3529454545483</v>
      </c>
    </row>
    <row r="353" spans="1:2" x14ac:dyDescent="0.3">
      <c r="A353" s="11">
        <v>15.4499999999999</v>
      </c>
      <c r="B353" s="11">
        <f t="shared" si="7"/>
        <v>2440.1693708049543</v>
      </c>
    </row>
    <row r="354" spans="1:2" x14ac:dyDescent="0.3">
      <c r="A354" s="11">
        <v>15.499999999999901</v>
      </c>
      <c r="B354" s="11">
        <f t="shared" si="7"/>
        <v>2409.4759951807591</v>
      </c>
    </row>
    <row r="355" spans="1:2" x14ac:dyDescent="0.3">
      <c r="A355" s="11">
        <v>15.549999999999899</v>
      </c>
      <c r="B355" s="11">
        <f t="shared" si="7"/>
        <v>2379.2636024388116</v>
      </c>
    </row>
    <row r="356" spans="1:2" x14ac:dyDescent="0.3">
      <c r="A356" s="11">
        <v>15.5999999999999</v>
      </c>
      <c r="B356" s="11">
        <f t="shared" si="7"/>
        <v>2349.5231779128644</v>
      </c>
    </row>
    <row r="357" spans="1:2" x14ac:dyDescent="0.3">
      <c r="A357" s="11">
        <v>15.649999999999901</v>
      </c>
      <c r="B357" s="11">
        <f t="shared" si="7"/>
        <v>2320.2459033965047</v>
      </c>
    </row>
    <row r="358" spans="1:2" x14ac:dyDescent="0.3">
      <c r="A358" s="11">
        <v>15.6999999999999</v>
      </c>
      <c r="B358" s="11">
        <f t="shared" si="7"/>
        <v>2291.4231522661876</v>
      </c>
    </row>
    <row r="359" spans="1:2" x14ac:dyDescent="0.3">
      <c r="A359" s="11">
        <v>15.749999999999901</v>
      </c>
      <c r="B359" s="11">
        <f t="shared" si="7"/>
        <v>2263.0464847400012</v>
      </c>
    </row>
    <row r="360" spans="1:2" x14ac:dyDescent="0.3">
      <c r="A360" s="11">
        <v>15.799999999999899</v>
      </c>
      <c r="B360" s="11">
        <f t="shared" si="7"/>
        <v>2235.1076432680238</v>
      </c>
    </row>
    <row r="361" spans="1:2" x14ac:dyDescent="0.3">
      <c r="A361" s="11">
        <v>15.8499999999999</v>
      </c>
      <c r="B361" s="11">
        <f t="shared" si="7"/>
        <v>2207.5985480501736</v>
      </c>
    </row>
    <row r="362" spans="1:2" x14ac:dyDescent="0.3">
      <c r="A362" s="11">
        <v>15.899999999999901</v>
      </c>
      <c r="B362" s="11">
        <f t="shared" si="7"/>
        <v>2180.5112926776992</v>
      </c>
    </row>
    <row r="363" spans="1:2" x14ac:dyDescent="0.3">
      <c r="A363" s="11">
        <v>15.9499999999999</v>
      </c>
      <c r="B363" s="11">
        <f t="shared" si="7"/>
        <v>2153.8381398945094</v>
      </c>
    </row>
    <row r="364" spans="1:2" x14ac:dyDescent="0.3">
      <c r="A364" s="11">
        <v>15.999999999999901</v>
      </c>
      <c r="B364" s="11">
        <f t="shared" si="7"/>
        <v>2127.5715174746615</v>
      </c>
    </row>
    <row r="365" spans="1:2" x14ac:dyDescent="0.3">
      <c r="A365" s="11">
        <v>16.049999999999901</v>
      </c>
      <c r="B365" s="11">
        <f t="shared" si="7"/>
        <v>2101.7040142125688</v>
      </c>
    </row>
    <row r="366" spans="1:2" x14ac:dyDescent="0.3">
      <c r="A366" s="11">
        <v>16.099999999999898</v>
      </c>
      <c r="B366" s="11">
        <f t="shared" ref="B366:B429" si="8">374200000/(A366^5*(EXP(14390/(A366*Temperature))-1))</f>
        <v>2076.2283760224113</v>
      </c>
    </row>
    <row r="367" spans="1:2" x14ac:dyDescent="0.3">
      <c r="A367" s="11">
        <v>16.149999999999899</v>
      </c>
      <c r="B367" s="11">
        <f t="shared" si="8"/>
        <v>2051.1375021435306</v>
      </c>
    </row>
    <row r="368" spans="1:2" x14ac:dyDescent="0.3">
      <c r="A368" s="11">
        <v>16.1999999999999</v>
      </c>
      <c r="B368" s="11">
        <f t="shared" si="8"/>
        <v>2026.4244414485886</v>
      </c>
    </row>
    <row r="369" spans="1:2" x14ac:dyDescent="0.3">
      <c r="A369" s="11">
        <v>16.249999999999901</v>
      </c>
      <c r="B369" s="11">
        <f t="shared" si="8"/>
        <v>2002.0823888514117</v>
      </c>
    </row>
    <row r="370" spans="1:2" x14ac:dyDescent="0.3">
      <c r="A370" s="11">
        <v>16.299999999999901</v>
      </c>
      <c r="B370" s="11">
        <f t="shared" si="8"/>
        <v>1978.104681811531</v>
      </c>
    </row>
    <row r="371" spans="1:2" x14ac:dyDescent="0.3">
      <c r="A371" s="11">
        <v>16.349999999999898</v>
      </c>
      <c r="B371" s="11">
        <f t="shared" si="8"/>
        <v>1954.4847969325649</v>
      </c>
    </row>
    <row r="372" spans="1:2" x14ac:dyDescent="0.3">
      <c r="A372" s="11">
        <v>16.399999999999899</v>
      </c>
      <c r="B372" s="11">
        <f t="shared" si="8"/>
        <v>1931.2163466516117</v>
      </c>
    </row>
    <row r="373" spans="1:2" x14ac:dyDescent="0.3">
      <c r="A373" s="11">
        <v>16.4499999999999</v>
      </c>
      <c r="B373" s="11">
        <f t="shared" si="8"/>
        <v>1908.2930760169872</v>
      </c>
    </row>
    <row r="374" spans="1:2" x14ac:dyDescent="0.3">
      <c r="A374" s="11">
        <v>16.499999999999901</v>
      </c>
      <c r="B374" s="11">
        <f t="shared" si="8"/>
        <v>1885.70885955169</v>
      </c>
    </row>
    <row r="375" spans="1:2" x14ac:dyDescent="0.3">
      <c r="A375" s="11">
        <v>16.549999999999901</v>
      </c>
      <c r="B375" s="11">
        <f t="shared" si="8"/>
        <v>1863.4576982000615</v>
      </c>
    </row>
    <row r="376" spans="1:2" x14ac:dyDescent="0.3">
      <c r="A376" s="11">
        <v>16.599999999999898</v>
      </c>
      <c r="B376" s="11">
        <f t="shared" si="8"/>
        <v>1841.5337163551878</v>
      </c>
    </row>
    <row r="377" spans="1:2" x14ac:dyDescent="0.3">
      <c r="A377" s="11">
        <v>16.649999999999899</v>
      </c>
      <c r="B377" s="11">
        <f t="shared" si="8"/>
        <v>1819.9311589646959</v>
      </c>
    </row>
    <row r="378" spans="1:2" x14ac:dyDescent="0.3">
      <c r="A378" s="11">
        <v>16.6999999999999</v>
      </c>
      <c r="B378" s="11">
        <f t="shared" si="8"/>
        <v>1798.6443887126686</v>
      </c>
    </row>
    <row r="379" spans="1:2" x14ac:dyDescent="0.3">
      <c r="A379" s="11">
        <v>16.749999999999901</v>
      </c>
      <c r="B379" s="11">
        <f t="shared" si="8"/>
        <v>1777.6678832754053</v>
      </c>
    </row>
    <row r="380" spans="1:2" x14ac:dyDescent="0.3">
      <c r="A380" s="11">
        <v>16.799999999999901</v>
      </c>
      <c r="B380" s="11">
        <f t="shared" si="8"/>
        <v>1756.9962326489408</v>
      </c>
    </row>
    <row r="381" spans="1:2" x14ac:dyDescent="0.3">
      <c r="A381" s="11">
        <v>16.849999999999898</v>
      </c>
      <c r="B381" s="11">
        <f t="shared" si="8"/>
        <v>1736.6241365462222</v>
      </c>
    </row>
    <row r="382" spans="1:2" x14ac:dyDescent="0.3">
      <c r="A382" s="11">
        <v>16.8999999999998</v>
      </c>
      <c r="B382" s="11">
        <f t="shared" si="8"/>
        <v>1716.5464018619587</v>
      </c>
    </row>
    <row r="383" spans="1:2" x14ac:dyDescent="0.3">
      <c r="A383" s="11">
        <v>16.9499999999999</v>
      </c>
      <c r="B383" s="11">
        <f t="shared" si="8"/>
        <v>1696.7579402029637</v>
      </c>
    </row>
    <row r="384" spans="1:2" x14ac:dyDescent="0.3">
      <c r="A384" s="11">
        <v>16.999999999999901</v>
      </c>
      <c r="B384" s="11">
        <f t="shared" si="8"/>
        <v>1677.2537654828643</v>
      </c>
    </row>
    <row r="385" spans="1:2" x14ac:dyDescent="0.3">
      <c r="A385" s="11">
        <v>17.049999999999901</v>
      </c>
      <c r="B385" s="11">
        <f t="shared" si="8"/>
        <v>1658.0289915780399</v>
      </c>
    </row>
    <row r="386" spans="1:2" x14ac:dyDescent="0.3">
      <c r="A386" s="11">
        <v>17.099999999999898</v>
      </c>
      <c r="B386" s="11">
        <f t="shared" si="8"/>
        <v>1639.0788300443658</v>
      </c>
    </row>
    <row r="387" spans="1:2" x14ac:dyDescent="0.3">
      <c r="A387" s="11">
        <v>17.1499999999998</v>
      </c>
      <c r="B387" s="11">
        <f t="shared" si="8"/>
        <v>1620.3985878922349</v>
      </c>
    </row>
    <row r="388" spans="1:2" x14ac:dyDescent="0.3">
      <c r="A388" s="11">
        <v>17.1999999999999</v>
      </c>
      <c r="B388" s="11">
        <f t="shared" si="8"/>
        <v>1601.9836654182859</v>
      </c>
    </row>
    <row r="389" spans="1:2" x14ac:dyDescent="0.3">
      <c r="A389" s="11">
        <v>17.249999999999901</v>
      </c>
      <c r="B389" s="11">
        <f t="shared" si="8"/>
        <v>1583.8295540928787</v>
      </c>
    </row>
    <row r="390" spans="1:2" x14ac:dyDescent="0.3">
      <c r="A390" s="11">
        <v>17.299999999999901</v>
      </c>
      <c r="B390" s="11">
        <f t="shared" si="8"/>
        <v>1565.9318345005311</v>
      </c>
    </row>
    <row r="391" spans="1:2" x14ac:dyDescent="0.3">
      <c r="A391" s="11">
        <v>17.349999999999799</v>
      </c>
      <c r="B391" s="11">
        <f t="shared" si="8"/>
        <v>1548.2861743331052</v>
      </c>
    </row>
    <row r="392" spans="1:2" x14ac:dyDescent="0.3">
      <c r="A392" s="11">
        <v>17.3999999999998</v>
      </c>
      <c r="B392" s="11">
        <f t="shared" si="8"/>
        <v>1530.8883264332887</v>
      </c>
    </row>
    <row r="393" spans="1:2" x14ac:dyDescent="0.3">
      <c r="A393" s="11">
        <v>17.4499999999998</v>
      </c>
      <c r="B393" s="11">
        <f t="shared" si="8"/>
        <v>1513.7341268877642</v>
      </c>
    </row>
    <row r="394" spans="1:2" x14ac:dyDescent="0.3">
      <c r="A394" s="11">
        <v>17.499999999999801</v>
      </c>
      <c r="B394" s="11">
        <f t="shared" si="8"/>
        <v>1496.8194931679204</v>
      </c>
    </row>
    <row r="395" spans="1:2" x14ac:dyDescent="0.3">
      <c r="A395" s="11">
        <v>17.549999999999802</v>
      </c>
      <c r="B395" s="11">
        <f t="shared" si="8"/>
        <v>1480.1404223173167</v>
      </c>
    </row>
    <row r="396" spans="1:2" x14ac:dyDescent="0.3">
      <c r="A396" s="11">
        <v>17.599999999999799</v>
      </c>
      <c r="B396" s="11">
        <f t="shared" si="8"/>
        <v>1463.6929891843936</v>
      </c>
    </row>
    <row r="397" spans="1:2" x14ac:dyDescent="0.3">
      <c r="A397" s="11">
        <v>17.6499999999998</v>
      </c>
      <c r="B397" s="11">
        <f t="shared" si="8"/>
        <v>1447.4733446992188</v>
      </c>
    </row>
    <row r="398" spans="1:2" x14ac:dyDescent="0.3">
      <c r="A398" s="11">
        <v>17.6999999999998</v>
      </c>
      <c r="B398" s="11">
        <f t="shared" si="8"/>
        <v>1431.4777141930333</v>
      </c>
    </row>
    <row r="399" spans="1:2" x14ac:dyDescent="0.3">
      <c r="A399" s="11">
        <v>17.749999999999801</v>
      </c>
      <c r="B399" s="11">
        <f t="shared" si="8"/>
        <v>1415.7023957594399</v>
      </c>
    </row>
    <row r="400" spans="1:2" x14ac:dyDescent="0.3">
      <c r="A400" s="11">
        <v>17.799999999999802</v>
      </c>
      <c r="B400" s="11">
        <f t="shared" si="8"/>
        <v>1400.1437586560933</v>
      </c>
    </row>
    <row r="401" spans="1:2" x14ac:dyDescent="0.3">
      <c r="A401" s="11">
        <v>17.849999999999799</v>
      </c>
      <c r="B401" s="11">
        <f t="shared" si="8"/>
        <v>1384.7982417457501</v>
      </c>
    </row>
    <row r="402" spans="1:2" x14ac:dyDescent="0.3">
      <c r="A402" s="11">
        <v>17.8999999999998</v>
      </c>
      <c r="B402" s="11">
        <f t="shared" si="8"/>
        <v>1369.6623519756386</v>
      </c>
    </row>
    <row r="403" spans="1:2" x14ac:dyDescent="0.3">
      <c r="A403" s="11">
        <v>17.9499999999998</v>
      </c>
      <c r="B403" s="11">
        <f t="shared" si="8"/>
        <v>1354.7326628941084</v>
      </c>
    </row>
    <row r="404" spans="1:2" x14ac:dyDescent="0.3">
      <c r="A404" s="11">
        <v>17.999999999999801</v>
      </c>
      <c r="B404" s="11">
        <f t="shared" si="8"/>
        <v>1340.0058132035108</v>
      </c>
    </row>
    <row r="405" spans="1:2" x14ac:dyDescent="0.3">
      <c r="A405" s="11">
        <v>18.049999999999802</v>
      </c>
      <c r="B405" s="11">
        <f t="shared" si="8"/>
        <v>1325.4785053483638</v>
      </c>
    </row>
    <row r="406" spans="1:2" x14ac:dyDescent="0.3">
      <c r="A406" s="11">
        <v>18.099999999999799</v>
      </c>
      <c r="B406" s="11">
        <f t="shared" si="8"/>
        <v>1311.1475041378321</v>
      </c>
    </row>
    <row r="407" spans="1:2" x14ac:dyDescent="0.3">
      <c r="A407" s="11">
        <v>18.1499999999998</v>
      </c>
      <c r="B407" s="11">
        <f t="shared" si="8"/>
        <v>1297.0096354016036</v>
      </c>
    </row>
    <row r="408" spans="1:2" x14ac:dyDescent="0.3">
      <c r="A408" s="11">
        <v>18.1999999999998</v>
      </c>
      <c r="B408" s="11">
        <f t="shared" si="8"/>
        <v>1283.0617846782663</v>
      </c>
    </row>
    <row r="409" spans="1:2" x14ac:dyDescent="0.3">
      <c r="A409" s="11">
        <v>18.249999999999801</v>
      </c>
      <c r="B409" s="11">
        <f t="shared" si="8"/>
        <v>1269.3008959353058</v>
      </c>
    </row>
    <row r="410" spans="1:2" x14ac:dyDescent="0.3">
      <c r="A410" s="11">
        <v>18.299999999999802</v>
      </c>
      <c r="B410" s="11">
        <f t="shared" si="8"/>
        <v>1255.7239703198923</v>
      </c>
    </row>
    <row r="411" spans="1:2" x14ac:dyDescent="0.3">
      <c r="A411" s="11">
        <v>18.349999999999799</v>
      </c>
      <c r="B411" s="11">
        <f t="shared" si="8"/>
        <v>1242.3280649396306</v>
      </c>
    </row>
    <row r="412" spans="1:2" x14ac:dyDescent="0.3">
      <c r="A412" s="11">
        <v>18.3999999999998</v>
      </c>
      <c r="B412" s="11">
        <f t="shared" si="8"/>
        <v>1229.1102916724651</v>
      </c>
    </row>
    <row r="413" spans="1:2" x14ac:dyDescent="0.3">
      <c r="A413" s="11">
        <v>18.4499999999998</v>
      </c>
      <c r="B413" s="11">
        <f t="shared" si="8"/>
        <v>1216.0678160049911</v>
      </c>
    </row>
    <row r="414" spans="1:2" x14ac:dyDescent="0.3">
      <c r="A414" s="11">
        <v>18.499999999999801</v>
      </c>
      <c r="B414" s="11">
        <f t="shared" si="8"/>
        <v>1203.1978558984074</v>
      </c>
    </row>
    <row r="415" spans="1:2" x14ac:dyDescent="0.3">
      <c r="A415" s="11">
        <v>18.549999999999802</v>
      </c>
      <c r="B415" s="11">
        <f t="shared" si="8"/>
        <v>1190.4976806813615</v>
      </c>
    </row>
    <row r="416" spans="1:2" x14ac:dyDescent="0.3">
      <c r="A416" s="11">
        <v>18.599999999999799</v>
      </c>
      <c r="B416" s="11">
        <f t="shared" si="8"/>
        <v>1177.9646099690424</v>
      </c>
    </row>
    <row r="417" spans="1:2" x14ac:dyDescent="0.3">
      <c r="A417" s="11">
        <v>18.6499999999998</v>
      </c>
      <c r="B417" s="11">
        <f t="shared" si="8"/>
        <v>1165.5960126077425</v>
      </c>
    </row>
    <row r="418" spans="1:2" x14ac:dyDescent="0.3">
      <c r="A418" s="11">
        <v>18.6999999999998</v>
      </c>
      <c r="B418" s="11">
        <f t="shared" si="8"/>
        <v>1153.3893056443121</v>
      </c>
    </row>
    <row r="419" spans="1:2" x14ac:dyDescent="0.3">
      <c r="A419" s="11">
        <v>18.749999999999801</v>
      </c>
      <c r="B419" s="11">
        <f t="shared" si="8"/>
        <v>1141.3419533197944</v>
      </c>
    </row>
    <row r="420" spans="1:2" x14ac:dyDescent="0.3">
      <c r="A420" s="11">
        <v>18.799999999999802</v>
      </c>
      <c r="B420" s="11">
        <f t="shared" si="8"/>
        <v>1129.4514660866319</v>
      </c>
    </row>
    <row r="421" spans="1:2" x14ac:dyDescent="0.3">
      <c r="A421" s="11">
        <v>18.849999999999799</v>
      </c>
      <c r="B421" s="11">
        <f t="shared" si="8"/>
        <v>1117.7153996488535</v>
      </c>
    </row>
    <row r="422" spans="1:2" x14ac:dyDescent="0.3">
      <c r="A422" s="11">
        <v>18.8999999999998</v>
      </c>
      <c r="B422" s="11">
        <f t="shared" si="8"/>
        <v>1106.1313540246067</v>
      </c>
    </row>
    <row r="423" spans="1:2" x14ac:dyDescent="0.3">
      <c r="A423" s="11">
        <v>18.9499999999998</v>
      </c>
      <c r="B423" s="11">
        <f t="shared" si="8"/>
        <v>1094.6969726304862</v>
      </c>
    </row>
    <row r="424" spans="1:2" x14ac:dyDescent="0.3">
      <c r="A424" s="11">
        <v>18.999999999999801</v>
      </c>
      <c r="B424" s="11">
        <f t="shared" si="8"/>
        <v>1083.4099413871013</v>
      </c>
    </row>
    <row r="425" spans="1:2" x14ac:dyDescent="0.3">
      <c r="A425" s="11">
        <v>19.049999999999802</v>
      </c>
      <c r="B425" s="11">
        <f t="shared" si="8"/>
        <v>1072.2679878453082</v>
      </c>
    </row>
    <row r="426" spans="1:2" x14ac:dyDescent="0.3">
      <c r="A426" s="11">
        <v>19.099999999999799</v>
      </c>
      <c r="B426" s="11">
        <f t="shared" si="8"/>
        <v>1061.2688803326014</v>
      </c>
    </row>
    <row r="427" spans="1:2" x14ac:dyDescent="0.3">
      <c r="A427" s="11">
        <v>19.1499999999998</v>
      </c>
      <c r="B427" s="11">
        <f t="shared" si="8"/>
        <v>1050.410427119152</v>
      </c>
    </row>
    <row r="428" spans="1:2" x14ac:dyDescent="0.3">
      <c r="A428" s="11">
        <v>19.1999999999998</v>
      </c>
      <c r="B428" s="11">
        <f t="shared" si="8"/>
        <v>1039.6904756029728</v>
      </c>
    </row>
    <row r="429" spans="1:2" x14ac:dyDescent="0.3">
      <c r="A429" s="11">
        <v>19.249999999999801</v>
      </c>
      <c r="B429" s="11">
        <f t="shared" si="8"/>
        <v>1029.106911513732</v>
      </c>
    </row>
    <row r="430" spans="1:2" x14ac:dyDescent="0.3">
      <c r="A430" s="11">
        <v>19.299999999999802</v>
      </c>
      <c r="B430" s="11">
        <f t="shared" ref="B430:B493" si="9">374200000/(A430^5*(EXP(14390/(A430*Temperature))-1))</f>
        <v>1018.6576581347538</v>
      </c>
    </row>
    <row r="431" spans="1:2" x14ac:dyDescent="0.3">
      <c r="A431" s="11">
        <v>19.349999999999799</v>
      </c>
      <c r="B431" s="11">
        <f t="shared" si="9"/>
        <v>1008.3406755427279</v>
      </c>
    </row>
    <row r="432" spans="1:2" x14ac:dyDescent="0.3">
      <c r="A432" s="11">
        <v>19.3999999999998</v>
      </c>
      <c r="B432" s="11">
        <f t="shared" si="9"/>
        <v>998.15395986469684</v>
      </c>
    </row>
    <row r="433" spans="1:2" x14ac:dyDescent="0.3">
      <c r="A433" s="11">
        <v>19.4499999999998</v>
      </c>
      <c r="B433" s="11">
        <f t="shared" si="9"/>
        <v>988.0955425518647</v>
      </c>
    </row>
    <row r="434" spans="1:2" x14ac:dyDescent="0.3">
      <c r="A434" s="11">
        <v>19.499999999999801</v>
      </c>
      <c r="B434" s="11">
        <f t="shared" si="9"/>
        <v>978.16348966984333</v>
      </c>
    </row>
    <row r="435" spans="1:2" x14ac:dyDescent="0.3">
      <c r="A435" s="11">
        <v>19.549999999999802</v>
      </c>
      <c r="B435" s="11">
        <f t="shared" si="9"/>
        <v>968.35590120487359</v>
      </c>
    </row>
    <row r="436" spans="1:2" x14ac:dyDescent="0.3">
      <c r="A436" s="11">
        <v>19.599999999999799</v>
      </c>
      <c r="B436" s="11">
        <f t="shared" si="9"/>
        <v>958.67091038566446</v>
      </c>
    </row>
    <row r="437" spans="1:2" x14ac:dyDescent="0.3">
      <c r="A437" s="11">
        <v>19.6499999999998</v>
      </c>
      <c r="B437" s="11">
        <f t="shared" si="9"/>
        <v>949.10668302044201</v>
      </c>
    </row>
    <row r="438" spans="1:2" x14ac:dyDescent="0.3">
      <c r="A438" s="11">
        <v>19.6999999999998</v>
      </c>
      <c r="B438" s="11">
        <f t="shared" si="9"/>
        <v>939.66141684883019</v>
      </c>
    </row>
    <row r="439" spans="1:2" x14ac:dyDescent="0.3">
      <c r="A439" s="11">
        <v>19.749999999999801</v>
      </c>
      <c r="B439" s="11">
        <f t="shared" si="9"/>
        <v>930.33334090820654</v>
      </c>
    </row>
    <row r="440" spans="1:2" x14ac:dyDescent="0.3">
      <c r="A440" s="11">
        <v>19.799999999999802</v>
      </c>
      <c r="B440" s="11">
        <f t="shared" si="9"/>
        <v>921.12071491415463</v>
      </c>
    </row>
    <row r="441" spans="1:2" x14ac:dyDescent="0.3">
      <c r="A441" s="11">
        <v>19.849999999999799</v>
      </c>
      <c r="B441" s="11">
        <f t="shared" si="9"/>
        <v>912.02182865469263</v>
      </c>
    </row>
    <row r="442" spans="1:2" x14ac:dyDescent="0.3">
      <c r="A442" s="11">
        <v>19.8999999999998</v>
      </c>
      <c r="B442" s="11">
        <f t="shared" si="9"/>
        <v>903.03500139790378</v>
      </c>
    </row>
    <row r="443" spans="1:2" x14ac:dyDescent="0.3">
      <c r="A443" s="11">
        <v>19.9499999999998</v>
      </c>
      <c r="B443" s="11">
        <f t="shared" si="9"/>
        <v>894.15858131268601</v>
      </c>
    </row>
    <row r="444" spans="1:2" x14ac:dyDescent="0.3">
      <c r="A444" s="11">
        <v>19.999999999999801</v>
      </c>
      <c r="B444" s="11">
        <f t="shared" si="9"/>
        <v>885.39094490224841</v>
      </c>
    </row>
    <row r="445" spans="1:2" x14ac:dyDescent="0.3">
      <c r="A445" s="11">
        <v>20.049999999999802</v>
      </c>
      <c r="B445" s="11">
        <f t="shared" si="9"/>
        <v>876.73049645008643</v>
      </c>
    </row>
    <row r="446" spans="1:2" x14ac:dyDescent="0.3">
      <c r="A446" s="11">
        <v>20.099999999999799</v>
      </c>
      <c r="B446" s="11">
        <f t="shared" si="9"/>
        <v>868.17566747810031</v>
      </c>
    </row>
    <row r="447" spans="1:2" x14ac:dyDescent="0.3">
      <c r="A447" s="11">
        <v>20.1499999999998</v>
      </c>
      <c r="B447" s="11">
        <f t="shared" si="9"/>
        <v>859.72491621657628</v>
      </c>
    </row>
    <row r="448" spans="1:2" x14ac:dyDescent="0.3">
      <c r="A448" s="11">
        <v>20.1999999999998</v>
      </c>
      <c r="B448" s="11">
        <f t="shared" si="9"/>
        <v>851.37672708575428</v>
      </c>
    </row>
    <row r="449" spans="1:2" x14ac:dyDescent="0.3">
      <c r="A449" s="11">
        <v>20.249999999999801</v>
      </c>
      <c r="B449" s="11">
        <f t="shared" si="9"/>
        <v>843.12961018866542</v>
      </c>
    </row>
    <row r="450" spans="1:2" x14ac:dyDescent="0.3">
      <c r="A450" s="11">
        <v>20.299999999999802</v>
      </c>
      <c r="B450" s="11">
        <f t="shared" si="9"/>
        <v>834.98210081500963</v>
      </c>
    </row>
    <row r="451" spans="1:2" x14ac:dyDescent="0.3">
      <c r="A451" s="11">
        <v>20.349999999999799</v>
      </c>
      <c r="B451" s="11">
        <f t="shared" si="9"/>
        <v>826.93275895577938</v>
      </c>
    </row>
    <row r="452" spans="1:2" x14ac:dyDescent="0.3">
      <c r="A452" s="11">
        <v>20.3999999999998</v>
      </c>
      <c r="B452" s="11">
        <f t="shared" si="9"/>
        <v>818.98016882837567</v>
      </c>
    </row>
    <row r="453" spans="1:2" x14ac:dyDescent="0.3">
      <c r="A453" s="11">
        <v>20.4499999999998</v>
      </c>
      <c r="B453" s="11">
        <f t="shared" si="9"/>
        <v>811.1229384119797</v>
      </c>
    </row>
    <row r="454" spans="1:2" x14ac:dyDescent="0.3">
      <c r="A454" s="11">
        <v>20.499999999999801</v>
      </c>
      <c r="B454" s="11">
        <f t="shared" si="9"/>
        <v>803.3596989929149</v>
      </c>
    </row>
    <row r="455" spans="1:2" x14ac:dyDescent="0.3">
      <c r="A455" s="11">
        <v>20.549999999999802</v>
      </c>
      <c r="B455" s="11">
        <f t="shared" si="9"/>
        <v>795.68910471977688</v>
      </c>
    </row>
    <row r="456" spans="1:2" x14ac:dyDescent="0.3">
      <c r="A456" s="11">
        <v>20.599999999999799</v>
      </c>
      <c r="B456" s="11">
        <f t="shared" si="9"/>
        <v>788.10983216808597</v>
      </c>
    </row>
    <row r="457" spans="1:2" x14ac:dyDescent="0.3">
      <c r="A457" s="11">
        <v>20.6499999999998</v>
      </c>
      <c r="B457" s="11">
        <f t="shared" si="9"/>
        <v>780.62057991425013</v>
      </c>
    </row>
    <row r="458" spans="1:2" x14ac:dyDescent="0.3">
      <c r="A458" s="11">
        <v>20.6999999999998</v>
      </c>
      <c r="B458" s="11">
        <f t="shared" si="9"/>
        <v>773.22006811860081</v>
      </c>
    </row>
    <row r="459" spans="1:2" x14ac:dyDescent="0.3">
      <c r="A459" s="11">
        <v>20.749999999999801</v>
      </c>
      <c r="B459" s="11">
        <f t="shared" si="9"/>
        <v>765.90703811730953</v>
      </c>
    </row>
    <row r="460" spans="1:2" x14ac:dyDescent="0.3">
      <c r="A460" s="11">
        <v>20.799999999999802</v>
      </c>
      <c r="B460" s="11">
        <f t="shared" si="9"/>
        <v>758.68025202295155</v>
      </c>
    </row>
    <row r="461" spans="1:2" x14ac:dyDescent="0.3">
      <c r="A461" s="11">
        <v>20.849999999999799</v>
      </c>
      <c r="B461" s="11">
        <f t="shared" si="9"/>
        <v>751.53849233352616</v>
      </c>
    </row>
    <row r="462" spans="1:2" x14ac:dyDescent="0.3">
      <c r="A462" s="11">
        <v>20.8999999999998</v>
      </c>
      <c r="B462" s="11">
        <f t="shared" si="9"/>
        <v>744.48056154974438</v>
      </c>
    </row>
    <row r="463" spans="1:2" x14ac:dyDescent="0.3">
      <c r="A463" s="11">
        <v>20.9499999999998</v>
      </c>
      <c r="B463" s="11">
        <f t="shared" si="9"/>
        <v>737.50528180036576</v>
      </c>
    </row>
    <row r="464" spans="1:2" x14ac:dyDescent="0.3">
      <c r="A464" s="11">
        <v>20.999999999999801</v>
      </c>
      <c r="B464" s="11">
        <f t="shared" si="9"/>
        <v>730.61149447542425</v>
      </c>
    </row>
    <row r="465" spans="1:2" x14ac:dyDescent="0.3">
      <c r="A465" s="11">
        <v>21.049999999999802</v>
      </c>
      <c r="B465" s="11">
        <f t="shared" si="9"/>
        <v>723.79805986713063</v>
      </c>
    </row>
    <row r="466" spans="1:2" x14ac:dyDescent="0.3">
      <c r="A466" s="11">
        <v>21.099999999999799</v>
      </c>
      <c r="B466" s="11">
        <f t="shared" si="9"/>
        <v>717.06385681830398</v>
      </c>
    </row>
    <row r="467" spans="1:2" x14ac:dyDescent="0.3">
      <c r="A467" s="11">
        <v>21.1499999999998</v>
      </c>
      <c r="B467" s="11">
        <f t="shared" si="9"/>
        <v>710.4077823781289</v>
      </c>
    </row>
    <row r="468" spans="1:2" x14ac:dyDescent="0.3">
      <c r="A468" s="11">
        <v>21.1999999999998</v>
      </c>
      <c r="B468" s="11">
        <f t="shared" si="9"/>
        <v>703.82875146509127</v>
      </c>
    </row>
    <row r="469" spans="1:2" x14ac:dyDescent="0.3">
      <c r="A469" s="11">
        <v>21.249999999999801</v>
      </c>
      <c r="B469" s="11">
        <f t="shared" si="9"/>
        <v>697.32569653690928</v>
      </c>
    </row>
    <row r="470" spans="1:2" x14ac:dyDescent="0.3">
      <c r="A470" s="11">
        <v>21.299999999999802</v>
      </c>
      <c r="B470" s="11">
        <f t="shared" si="9"/>
        <v>690.89756726731287</v>
      </c>
    </row>
    <row r="471" spans="1:2" x14ac:dyDescent="0.3">
      <c r="A471" s="11">
        <v>21.349999999999799</v>
      </c>
      <c r="B471" s="11">
        <f t="shared" si="9"/>
        <v>684.54333022950698</v>
      </c>
    </row>
    <row r="472" spans="1:2" x14ac:dyDescent="0.3">
      <c r="A472" s="11">
        <v>21.3999999999998</v>
      </c>
      <c r="B472" s="11">
        <f t="shared" si="9"/>
        <v>678.2619685861589</v>
      </c>
    </row>
    <row r="473" spans="1:2" x14ac:dyDescent="0.3">
      <c r="A473" s="11">
        <v>21.4499999999998</v>
      </c>
      <c r="B473" s="11">
        <f t="shared" si="9"/>
        <v>672.05248178578393</v>
      </c>
    </row>
    <row r="474" spans="1:2" x14ac:dyDescent="0.3">
      <c r="A474" s="11">
        <v>21.499999999999801</v>
      </c>
      <c r="B474" s="11">
        <f t="shared" si="9"/>
        <v>665.91388526535309</v>
      </c>
    </row>
    <row r="475" spans="1:2" x14ac:dyDescent="0.3">
      <c r="A475" s="11">
        <v>21.549999999999802</v>
      </c>
      <c r="B475" s="11">
        <f t="shared" si="9"/>
        <v>659.84521015899793</v>
      </c>
    </row>
    <row r="476" spans="1:2" x14ac:dyDescent="0.3">
      <c r="A476" s="11">
        <v>21.599999999999799</v>
      </c>
      <c r="B476" s="11">
        <f t="shared" si="9"/>
        <v>653.84550301268052</v>
      </c>
    </row>
    <row r="477" spans="1:2" x14ac:dyDescent="0.3">
      <c r="A477" s="11">
        <v>21.6499999999998</v>
      </c>
      <c r="B477" s="11">
        <f t="shared" si="9"/>
        <v>647.91382550467461</v>
      </c>
    </row>
    <row r="478" spans="1:2" x14ac:dyDescent="0.3">
      <c r="A478" s="11">
        <v>21.6999999999998</v>
      </c>
      <c r="B478" s="11">
        <f t="shared" si="9"/>
        <v>642.04925417173831</v>
      </c>
    </row>
    <row r="479" spans="1:2" x14ac:dyDescent="0.3">
      <c r="A479" s="11">
        <v>21.749999999999801</v>
      </c>
      <c r="B479" s="11">
        <f t="shared" si="9"/>
        <v>636.25088014085554</v>
      </c>
    </row>
    <row r="480" spans="1:2" x14ac:dyDescent="0.3">
      <c r="A480" s="11">
        <v>21.799999999999699</v>
      </c>
      <c r="B480" s="11">
        <f t="shared" si="9"/>
        <v>630.51780886641302</v>
      </c>
    </row>
    <row r="481" spans="1:2" x14ac:dyDescent="0.3">
      <c r="A481" s="11">
        <v>21.849999999999699</v>
      </c>
      <c r="B481" s="11">
        <f t="shared" si="9"/>
        <v>624.84915987264333</v>
      </c>
    </row>
    <row r="482" spans="1:2" x14ac:dyDescent="0.3">
      <c r="A482" s="11">
        <v>21.8999999999997</v>
      </c>
      <c r="B482" s="11">
        <f t="shared" si="9"/>
        <v>619.24406650137439</v>
      </c>
    </row>
    <row r="483" spans="1:2" x14ac:dyDescent="0.3">
      <c r="A483" s="11">
        <v>21.949999999999701</v>
      </c>
      <c r="B483" s="11">
        <f t="shared" si="9"/>
        <v>613.70167566474072</v>
      </c>
    </row>
    <row r="484" spans="1:2" x14ac:dyDescent="0.3">
      <c r="A484" s="11">
        <v>21.999999999999702</v>
      </c>
      <c r="B484" s="11">
        <f t="shared" si="9"/>
        <v>608.22114760292186</v>
      </c>
    </row>
    <row r="485" spans="1:2" x14ac:dyDescent="0.3">
      <c r="A485" s="11">
        <v>22.049999999999699</v>
      </c>
      <c r="B485" s="11">
        <f t="shared" si="9"/>
        <v>602.80165564671688</v>
      </c>
    </row>
    <row r="486" spans="1:2" x14ac:dyDescent="0.3">
      <c r="A486" s="11">
        <v>22.099999999999699</v>
      </c>
      <c r="B486" s="11">
        <f t="shared" si="9"/>
        <v>597.44238598487584</v>
      </c>
    </row>
    <row r="487" spans="1:2" x14ac:dyDescent="0.3">
      <c r="A487" s="11">
        <v>22.1499999999997</v>
      </c>
      <c r="B487" s="11">
        <f t="shared" si="9"/>
        <v>592.142537436064</v>
      </c>
    </row>
    <row r="488" spans="1:2" x14ac:dyDescent="0.3">
      <c r="A488" s="11">
        <v>22.199999999999701</v>
      </c>
      <c r="B488" s="11">
        <f t="shared" si="9"/>
        <v>586.90132122536977</v>
      </c>
    </row>
    <row r="489" spans="1:2" x14ac:dyDescent="0.3">
      <c r="A489" s="11">
        <v>22.249999999999702</v>
      </c>
      <c r="B489" s="11">
        <f t="shared" si="9"/>
        <v>581.71796076525061</v>
      </c>
    </row>
    <row r="490" spans="1:2" x14ac:dyDescent="0.3">
      <c r="A490" s="11">
        <v>22.299999999999699</v>
      </c>
      <c r="B490" s="11">
        <f t="shared" si="9"/>
        <v>576.59169144082159</v>
      </c>
    </row>
    <row r="491" spans="1:2" x14ac:dyDescent="0.3">
      <c r="A491" s="11">
        <v>22.349999999999699</v>
      </c>
      <c r="B491" s="11">
        <f t="shared" si="9"/>
        <v>571.52176039938138</v>
      </c>
    </row>
    <row r="492" spans="1:2" x14ac:dyDescent="0.3">
      <c r="A492" s="11">
        <v>22.3999999999997</v>
      </c>
      <c r="B492" s="11">
        <f t="shared" si="9"/>
        <v>566.50742634410938</v>
      </c>
    </row>
    <row r="493" spans="1:2" x14ac:dyDescent="0.3">
      <c r="A493" s="11">
        <v>22.449999999999701</v>
      </c>
      <c r="B493" s="11">
        <f t="shared" si="9"/>
        <v>561.54795933180174</v>
      </c>
    </row>
    <row r="494" spans="1:2" x14ac:dyDescent="0.3">
      <c r="A494" s="11">
        <v>22.499999999999702</v>
      </c>
      <c r="B494" s="11">
        <f t="shared" ref="B494:B557" si="10">374200000/(A494^5*(EXP(14390/(A494*Temperature))-1))</f>
        <v>556.64264057459764</v>
      </c>
    </row>
    <row r="495" spans="1:2" x14ac:dyDescent="0.3">
      <c r="A495" s="11">
        <v>22.549999999999699</v>
      </c>
      <c r="B495" s="11">
        <f t="shared" si="10"/>
        <v>551.79076224558958</v>
      </c>
    </row>
    <row r="496" spans="1:2" x14ac:dyDescent="0.3">
      <c r="A496" s="11">
        <v>22.599999999999699</v>
      </c>
      <c r="B496" s="11">
        <f t="shared" si="10"/>
        <v>546.99162728822307</v>
      </c>
    </row>
    <row r="497" spans="1:2" x14ac:dyDescent="0.3">
      <c r="A497" s="11">
        <v>22.6499999999997</v>
      </c>
      <c r="B497" s="11">
        <f t="shared" si="10"/>
        <v>542.24454922943801</v>
      </c>
    </row>
    <row r="498" spans="1:2" x14ac:dyDescent="0.3">
      <c r="A498" s="11">
        <v>22.699999999999701</v>
      </c>
      <c r="B498" s="11">
        <f t="shared" si="10"/>
        <v>537.54885199642979</v>
      </c>
    </row>
    <row r="499" spans="1:2" x14ac:dyDescent="0.3">
      <c r="A499" s="11">
        <v>22.749999999999702</v>
      </c>
      <c r="B499" s="11">
        <f t="shared" si="10"/>
        <v>532.90386973698048</v>
      </c>
    </row>
    <row r="500" spans="1:2" x14ac:dyDescent="0.3">
      <c r="A500" s="11">
        <v>22.799999999999699</v>
      </c>
      <c r="B500" s="11">
        <f t="shared" si="10"/>
        <v>528.30894664327309</v>
      </c>
    </row>
    <row r="501" spans="1:2" x14ac:dyDescent="0.3">
      <c r="A501" s="11">
        <v>22.849999999999699</v>
      </c>
      <c r="B501" s="11">
        <f t="shared" si="10"/>
        <v>523.76343677911427</v>
      </c>
    </row>
    <row r="502" spans="1:2" x14ac:dyDescent="0.3">
      <c r="A502" s="11">
        <v>22.8999999999997</v>
      </c>
      <c r="B502" s="11">
        <f t="shared" si="10"/>
        <v>519.26670391049367</v>
      </c>
    </row>
    <row r="503" spans="1:2" x14ac:dyDescent="0.3">
      <c r="A503" s="11">
        <v>22.949999999999701</v>
      </c>
      <c r="B503" s="11">
        <f t="shared" si="10"/>
        <v>514.81812133940491</v>
      </c>
    </row>
    <row r="504" spans="1:2" x14ac:dyDescent="0.3">
      <c r="A504" s="11">
        <v>22.999999999999702</v>
      </c>
      <c r="B504" s="11">
        <f t="shared" si="10"/>
        <v>510.41707174086775</v>
      </c>
    </row>
    <row r="505" spans="1:2" x14ac:dyDescent="0.3">
      <c r="A505" s="11">
        <v>23.049999999999699</v>
      </c>
      <c r="B505" s="11">
        <f t="shared" si="10"/>
        <v>506.06294700306938</v>
      </c>
    </row>
    <row r="506" spans="1:2" x14ac:dyDescent="0.3">
      <c r="A506" s="11">
        <v>23.099999999999699</v>
      </c>
      <c r="B506" s="11">
        <f t="shared" si="10"/>
        <v>501.7551480705705</v>
      </c>
    </row>
    <row r="507" spans="1:2" x14ac:dyDescent="0.3">
      <c r="A507" s="11">
        <v>23.1499999999997</v>
      </c>
      <c r="B507" s="11">
        <f t="shared" si="10"/>
        <v>497.49308479050791</v>
      </c>
    </row>
    <row r="508" spans="1:2" x14ac:dyDescent="0.3">
      <c r="A508" s="11">
        <v>23.199999999999701</v>
      </c>
      <c r="B508" s="11">
        <f t="shared" si="10"/>
        <v>493.27617576172503</v>
      </c>
    </row>
    <row r="509" spans="1:2" x14ac:dyDescent="0.3">
      <c r="A509" s="11">
        <v>23.249999999999702</v>
      </c>
      <c r="B509" s="11">
        <f t="shared" si="10"/>
        <v>489.10384818677426</v>
      </c>
    </row>
    <row r="510" spans="1:2" x14ac:dyDescent="0.3">
      <c r="A510" s="11">
        <v>23.299999999999699</v>
      </c>
      <c r="B510" s="11">
        <f t="shared" si="10"/>
        <v>484.97553772673217</v>
      </c>
    </row>
    <row r="511" spans="1:2" x14ac:dyDescent="0.3">
      <c r="A511" s="11">
        <v>23.349999999999699</v>
      </c>
      <c r="B511" s="11">
        <f t="shared" si="10"/>
        <v>480.8906883587544</v>
      </c>
    </row>
    <row r="512" spans="1:2" x14ac:dyDescent="0.3">
      <c r="A512" s="11">
        <v>23.3999999999997</v>
      </c>
      <c r="B512" s="11">
        <f t="shared" si="10"/>
        <v>476.8487522363385</v>
      </c>
    </row>
    <row r="513" spans="1:2" x14ac:dyDescent="0.3">
      <c r="A513" s="11">
        <v>23.449999999999701</v>
      </c>
      <c r="B513" s="11">
        <f t="shared" si="10"/>
        <v>472.84918955221013</v>
      </c>
    </row>
    <row r="514" spans="1:2" x14ac:dyDescent="0.3">
      <c r="A514" s="11">
        <v>23.499999999999702</v>
      </c>
      <c r="B514" s="11">
        <f t="shared" si="10"/>
        <v>468.89146840379277</v>
      </c>
    </row>
    <row r="515" spans="1:2" x14ac:dyDescent="0.3">
      <c r="A515" s="11">
        <v>23.549999999999699</v>
      </c>
      <c r="B515" s="11">
        <f t="shared" si="10"/>
        <v>464.97506466121183</v>
      </c>
    </row>
    <row r="516" spans="1:2" x14ac:dyDescent="0.3">
      <c r="A516" s="11">
        <v>23.599999999999699</v>
      </c>
      <c r="B516" s="11">
        <f t="shared" si="10"/>
        <v>461.09946183776356</v>
      </c>
    </row>
    <row r="517" spans="1:2" x14ac:dyDescent="0.3">
      <c r="A517" s="11">
        <v>23.6499999999997</v>
      </c>
      <c r="B517" s="11">
        <f t="shared" si="10"/>
        <v>457.26415096281278</v>
      </c>
    </row>
    <row r="518" spans="1:2" x14ac:dyDescent="0.3">
      <c r="A518" s="11">
        <v>23.699999999999701</v>
      </c>
      <c r="B518" s="11">
        <f t="shared" si="10"/>
        <v>453.46863045706203</v>
      </c>
    </row>
    <row r="519" spans="1:2" x14ac:dyDescent="0.3">
      <c r="A519" s="11">
        <v>23.749999999999702</v>
      </c>
      <c r="B519" s="11">
        <f t="shared" si="10"/>
        <v>449.71240601014239</v>
      </c>
    </row>
    <row r="520" spans="1:2" x14ac:dyDescent="0.3">
      <c r="A520" s="11">
        <v>23.799999999999699</v>
      </c>
      <c r="B520" s="11">
        <f t="shared" si="10"/>
        <v>445.99499046048476</v>
      </c>
    </row>
    <row r="521" spans="1:2" x14ac:dyDescent="0.3">
      <c r="A521" s="11">
        <v>23.849999999999699</v>
      </c>
      <c r="B521" s="11">
        <f t="shared" si="10"/>
        <v>442.31590367741416</v>
      </c>
    </row>
    <row r="522" spans="1:2" x14ac:dyDescent="0.3">
      <c r="A522" s="11">
        <v>23.8999999999997</v>
      </c>
      <c r="B522" s="11">
        <f t="shared" si="10"/>
        <v>438.67467244543104</v>
      </c>
    </row>
    <row r="523" spans="1:2" x14ac:dyDescent="0.3">
      <c r="A523" s="11">
        <v>23.949999999999701</v>
      </c>
      <c r="B523" s="11">
        <f t="shared" si="10"/>
        <v>435.07083035063033</v>
      </c>
    </row>
    <row r="524" spans="1:2" x14ac:dyDescent="0.3">
      <c r="A524" s="11">
        <v>23.999999999999702</v>
      </c>
      <c r="B524" s="11">
        <f t="shared" si="10"/>
        <v>431.50391766920933</v>
      </c>
    </row>
    <row r="525" spans="1:2" x14ac:dyDescent="0.3">
      <c r="A525" s="11">
        <v>24.049999999999699</v>
      </c>
      <c r="B525" s="11">
        <f t="shared" si="10"/>
        <v>427.97348125803802</v>
      </c>
    </row>
    <row r="526" spans="1:2" x14ac:dyDescent="0.3">
      <c r="A526" s="11">
        <v>24.099999999999699</v>
      </c>
      <c r="B526" s="11">
        <f t="shared" si="10"/>
        <v>424.47907444722847</v>
      </c>
    </row>
    <row r="527" spans="1:2" x14ac:dyDescent="0.3">
      <c r="A527" s="11">
        <v>24.1499999999997</v>
      </c>
      <c r="B527" s="11">
        <f t="shared" si="10"/>
        <v>421.02025693467584</v>
      </c>
    </row>
    <row r="528" spans="1:2" x14ac:dyDescent="0.3">
      <c r="A528" s="11">
        <v>24.199999999999701</v>
      </c>
      <c r="B528" s="11">
        <f t="shared" si="10"/>
        <v>417.59659468253426</v>
      </c>
    </row>
    <row r="529" spans="1:2" x14ac:dyDescent="0.3">
      <c r="A529" s="11">
        <v>24.249999999999702</v>
      </c>
      <c r="B529" s="11">
        <f t="shared" si="10"/>
        <v>414.20765981557253</v>
      </c>
    </row>
    <row r="530" spans="1:2" x14ac:dyDescent="0.3">
      <c r="A530" s="11">
        <v>24.299999999999699</v>
      </c>
      <c r="B530" s="11">
        <f t="shared" si="10"/>
        <v>410.85303052138954</v>
      </c>
    </row>
    <row r="531" spans="1:2" x14ac:dyDescent="0.3">
      <c r="A531" s="11">
        <v>24.349999999999699</v>
      </c>
      <c r="B531" s="11">
        <f t="shared" si="10"/>
        <v>407.53229095243512</v>
      </c>
    </row>
    <row r="532" spans="1:2" x14ac:dyDescent="0.3">
      <c r="A532" s="11">
        <v>24.3999999999997</v>
      </c>
      <c r="B532" s="11">
        <f t="shared" si="10"/>
        <v>404.24503112982063</v>
      </c>
    </row>
    <row r="533" spans="1:2" x14ac:dyDescent="0.3">
      <c r="A533" s="11">
        <v>24.449999999999701</v>
      </c>
      <c r="B533" s="11">
        <f t="shared" si="10"/>
        <v>400.99084684885747</v>
      </c>
    </row>
    <row r="534" spans="1:2" x14ac:dyDescent="0.3">
      <c r="A534" s="11">
        <v>24.499999999999702</v>
      </c>
      <c r="B534" s="11">
        <f t="shared" si="10"/>
        <v>397.76933958631213</v>
      </c>
    </row>
    <row r="535" spans="1:2" x14ac:dyDescent="0.3">
      <c r="A535" s="11">
        <v>24.549999999999699</v>
      </c>
      <c r="B535" s="11">
        <f t="shared" si="10"/>
        <v>394.58011640932847</v>
      </c>
    </row>
    <row r="536" spans="1:2" x14ac:dyDescent="0.3">
      <c r="A536" s="11">
        <v>24.599999999999699</v>
      </c>
      <c r="B536" s="11">
        <f t="shared" si="10"/>
        <v>391.42278988599327</v>
      </c>
    </row>
    <row r="537" spans="1:2" x14ac:dyDescent="0.3">
      <c r="A537" s="11">
        <v>24.6499999999997</v>
      </c>
      <c r="B537" s="11">
        <f t="shared" si="10"/>
        <v>388.29697799750369</v>
      </c>
    </row>
    <row r="538" spans="1:2" x14ac:dyDescent="0.3">
      <c r="A538" s="11">
        <v>24.699999999999701</v>
      </c>
      <c r="B538" s="11">
        <f t="shared" si="10"/>
        <v>385.20230405190949</v>
      </c>
    </row>
    <row r="539" spans="1:2" x14ac:dyDescent="0.3">
      <c r="A539" s="11">
        <v>24.749999999999702</v>
      </c>
      <c r="B539" s="11">
        <f t="shared" si="10"/>
        <v>382.13839659940692</v>
      </c>
    </row>
    <row r="540" spans="1:2" x14ac:dyDescent="0.3">
      <c r="A540" s="11">
        <v>24.799999999999699</v>
      </c>
      <c r="B540" s="11">
        <f t="shared" si="10"/>
        <v>379.10488934912877</v>
      </c>
    </row>
    <row r="541" spans="1:2" x14ac:dyDescent="0.3">
      <c r="A541" s="11">
        <v>24.849999999999699</v>
      </c>
      <c r="B541" s="11">
        <f t="shared" si="10"/>
        <v>376.1014210874331</v>
      </c>
    </row>
    <row r="542" spans="1:2" x14ac:dyDescent="0.3">
      <c r="A542" s="11">
        <v>24.8999999999997</v>
      </c>
      <c r="B542" s="11">
        <f t="shared" si="10"/>
        <v>373.12763559763738</v>
      </c>
    </row>
    <row r="543" spans="1:2" x14ac:dyDescent="0.3">
      <c r="A543" s="11">
        <v>24.949999999999701</v>
      </c>
      <c r="B543" s="11">
        <f t="shared" si="10"/>
        <v>370.18318158117609</v>
      </c>
    </row>
    <row r="544" spans="1:2" x14ac:dyDescent="0.3">
      <c r="A544" s="11">
        <v>24.999999999999702</v>
      </c>
      <c r="B544" s="11">
        <f t="shared" si="10"/>
        <v>367.26771258015793</v>
      </c>
    </row>
    <row r="545" spans="1:2" x14ac:dyDescent="0.3">
      <c r="A545" s="11">
        <v>25.049999999999699</v>
      </c>
      <c r="B545" s="11">
        <f t="shared" si="10"/>
        <v>364.38088690129223</v>
      </c>
    </row>
    <row r="546" spans="1:2" x14ac:dyDescent="0.3">
      <c r="A546" s="11">
        <v>25.099999999999699</v>
      </c>
      <c r="B546" s="11">
        <f t="shared" si="10"/>
        <v>361.52236754115501</v>
      </c>
    </row>
    <row r="547" spans="1:2" x14ac:dyDescent="0.3">
      <c r="A547" s="11">
        <v>25.1499999999997</v>
      </c>
      <c r="B547" s="11">
        <f t="shared" si="10"/>
        <v>358.6918221127749</v>
      </c>
    </row>
    <row r="548" spans="1:2" x14ac:dyDescent="0.3">
      <c r="A548" s="11">
        <v>25.199999999999701</v>
      </c>
      <c r="B548" s="11">
        <f t="shared" si="10"/>
        <v>355.88892277350487</v>
      </c>
    </row>
    <row r="549" spans="1:2" x14ac:dyDescent="0.3">
      <c r="A549" s="11">
        <v>25.249999999999702</v>
      </c>
      <c r="B549" s="11">
        <f t="shared" si="10"/>
        <v>353.11334615416166</v>
      </c>
    </row>
    <row r="550" spans="1:2" x14ac:dyDescent="0.3">
      <c r="A550" s="11">
        <v>25.299999999999699</v>
      </c>
      <c r="B550" s="11">
        <f t="shared" si="10"/>
        <v>350.36477328940708</v>
      </c>
    </row>
    <row r="551" spans="1:2" x14ac:dyDescent="0.3">
      <c r="A551" s="11">
        <v>25.349999999999699</v>
      </c>
      <c r="B551" s="11">
        <f t="shared" si="10"/>
        <v>347.64288954934432</v>
      </c>
    </row>
    <row r="552" spans="1:2" x14ac:dyDescent="0.3">
      <c r="A552" s="11">
        <v>25.3999999999997</v>
      </c>
      <c r="B552" s="11">
        <f t="shared" si="10"/>
        <v>344.9473845723025</v>
      </c>
    </row>
    <row r="553" spans="1:2" x14ac:dyDescent="0.3">
      <c r="A553" s="11">
        <v>25.449999999999701</v>
      </c>
      <c r="B553" s="11">
        <f t="shared" si="10"/>
        <v>342.2779521988034</v>
      </c>
    </row>
    <row r="554" spans="1:2" x14ac:dyDescent="0.3">
      <c r="A554" s="11">
        <v>25.499999999999702</v>
      </c>
      <c r="B554" s="11">
        <f t="shared" si="10"/>
        <v>339.63429040666</v>
      </c>
    </row>
    <row r="555" spans="1:2" x14ac:dyDescent="0.3">
      <c r="A555" s="11">
        <v>25.549999999999699</v>
      </c>
      <c r="B555" s="11">
        <f t="shared" si="10"/>
        <v>337.0161012472139</v>
      </c>
    </row>
    <row r="556" spans="1:2" x14ac:dyDescent="0.3">
      <c r="A556" s="11">
        <v>25.599999999999699</v>
      </c>
      <c r="B556" s="11">
        <f t="shared" si="10"/>
        <v>334.42309078266413</v>
      </c>
    </row>
    <row r="557" spans="1:2" x14ac:dyDescent="0.3">
      <c r="A557" s="11">
        <v>25.6499999999997</v>
      </c>
      <c r="B557" s="11">
        <f t="shared" si="10"/>
        <v>331.85496902449034</v>
      </c>
    </row>
    <row r="558" spans="1:2" x14ac:dyDescent="0.3">
      <c r="A558" s="11">
        <v>25.699999999999701</v>
      </c>
      <c r="B558" s="11">
        <f t="shared" ref="B558:B621" si="11">374200000/(A558^5*(EXP(14390/(A558*Temperature))-1))</f>
        <v>329.31144987292896</v>
      </c>
    </row>
    <row r="559" spans="1:2" x14ac:dyDescent="0.3">
      <c r="A559" s="11">
        <v>25.749999999999702</v>
      </c>
      <c r="B559" s="11">
        <f t="shared" si="11"/>
        <v>326.79225105749202</v>
      </c>
    </row>
    <row r="560" spans="1:2" x14ac:dyDescent="0.3">
      <c r="A560" s="11">
        <v>25.799999999999699</v>
      </c>
      <c r="B560" s="11">
        <f t="shared" si="11"/>
        <v>324.29709407851078</v>
      </c>
    </row>
    <row r="561" spans="1:2" x14ac:dyDescent="0.3">
      <c r="A561" s="11">
        <v>25.849999999999699</v>
      </c>
      <c r="B561" s="11">
        <f t="shared" si="11"/>
        <v>321.8257041496795</v>
      </c>
    </row>
    <row r="562" spans="1:2" x14ac:dyDescent="0.3">
      <c r="A562" s="11">
        <v>25.8999999999997</v>
      </c>
      <c r="B562" s="11">
        <f t="shared" si="11"/>
        <v>319.37781014157991</v>
      </c>
    </row>
    <row r="563" spans="1:2" x14ac:dyDescent="0.3">
      <c r="A563" s="11">
        <v>25.949999999999701</v>
      </c>
      <c r="B563" s="11">
        <f t="shared" si="11"/>
        <v>316.95314452617487</v>
      </c>
    </row>
    <row r="564" spans="1:2" x14ac:dyDescent="0.3">
      <c r="A564" s="11">
        <v>25.999999999999702</v>
      </c>
      <c r="B564" s="11">
        <f t="shared" si="11"/>
        <v>314.55144332224324</v>
      </c>
    </row>
    <row r="565" spans="1:2" x14ac:dyDescent="0.3">
      <c r="A565" s="11">
        <v>26.049999999999699</v>
      </c>
      <c r="B565" s="11">
        <f t="shared" si="11"/>
        <v>312.17244604174465</v>
      </c>
    </row>
    <row r="566" spans="1:2" x14ac:dyDescent="0.3">
      <c r="A566" s="11">
        <v>26.099999999999699</v>
      </c>
      <c r="B566" s="11">
        <f t="shared" si="11"/>
        <v>309.81589563709838</v>
      </c>
    </row>
    <row r="567" spans="1:2" x14ac:dyDescent="0.3">
      <c r="A567" s="11">
        <v>26.1499999999997</v>
      </c>
      <c r="B567" s="11">
        <f t="shared" si="11"/>
        <v>307.48153844934814</v>
      </c>
    </row>
    <row r="568" spans="1:2" x14ac:dyDescent="0.3">
      <c r="A568" s="11">
        <v>26.199999999999701</v>
      </c>
      <c r="B568" s="11">
        <f t="shared" si="11"/>
        <v>305.16912415721362</v>
      </c>
    </row>
    <row r="569" spans="1:2" x14ac:dyDescent="0.3">
      <c r="A569" s="11">
        <v>26.249999999999702</v>
      </c>
      <c r="B569" s="11">
        <f t="shared" si="11"/>
        <v>302.87840572699076</v>
      </c>
    </row>
    <row r="570" spans="1:2" x14ac:dyDescent="0.3">
      <c r="A570" s="11">
        <v>26.299999999999699</v>
      </c>
      <c r="B570" s="11">
        <f t="shared" si="11"/>
        <v>300.6091393633065</v>
      </c>
    </row>
    <row r="571" spans="1:2" x14ac:dyDescent="0.3">
      <c r="A571" s="11">
        <v>26.349999999999699</v>
      </c>
      <c r="B571" s="11">
        <f t="shared" si="11"/>
        <v>298.36108446069551</v>
      </c>
    </row>
    <row r="572" spans="1:2" x14ac:dyDescent="0.3">
      <c r="A572" s="11">
        <v>26.3999999999997</v>
      </c>
      <c r="B572" s="11">
        <f t="shared" si="11"/>
        <v>296.13400355599452</v>
      </c>
    </row>
    <row r="573" spans="1:2" x14ac:dyDescent="0.3">
      <c r="A573" s="11">
        <v>26.449999999999701</v>
      </c>
      <c r="B573" s="11">
        <f t="shared" si="11"/>
        <v>293.92766228152806</v>
      </c>
    </row>
    <row r="574" spans="1:2" x14ac:dyDescent="0.3">
      <c r="A574" s="11">
        <v>26.499999999999599</v>
      </c>
      <c r="B574" s="11">
        <f t="shared" si="11"/>
        <v>291.74182931908871</v>
      </c>
    </row>
    <row r="575" spans="1:2" x14ac:dyDescent="0.3">
      <c r="A575" s="11">
        <v>26.549999999999599</v>
      </c>
      <c r="B575" s="11">
        <f t="shared" si="11"/>
        <v>289.57627635465883</v>
      </c>
    </row>
    <row r="576" spans="1:2" x14ac:dyDescent="0.3">
      <c r="A576" s="11">
        <v>26.5999999999996</v>
      </c>
      <c r="B576" s="11">
        <f t="shared" si="11"/>
        <v>287.43077803393345</v>
      </c>
    </row>
    <row r="577" spans="1:2" x14ac:dyDescent="0.3">
      <c r="A577" s="11">
        <v>26.649999999999601</v>
      </c>
      <c r="B577" s="11">
        <f t="shared" si="11"/>
        <v>285.30511191853657</v>
      </c>
    </row>
    <row r="578" spans="1:2" x14ac:dyDescent="0.3">
      <c r="A578" s="11">
        <v>26.699999999999601</v>
      </c>
      <c r="B578" s="11">
        <f t="shared" si="11"/>
        <v>283.19905844299109</v>
      </c>
    </row>
    <row r="579" spans="1:2" x14ac:dyDescent="0.3">
      <c r="A579" s="11">
        <v>26.749999999999599</v>
      </c>
      <c r="B579" s="11">
        <f t="shared" si="11"/>
        <v>281.11240087238889</v>
      </c>
    </row>
    <row r="580" spans="1:2" x14ac:dyDescent="0.3">
      <c r="A580" s="11">
        <v>26.799999999999599</v>
      </c>
      <c r="B580" s="11">
        <f t="shared" si="11"/>
        <v>279.04492526077115</v>
      </c>
    </row>
    <row r="581" spans="1:2" x14ac:dyDescent="0.3">
      <c r="A581" s="11">
        <v>26.8499999999996</v>
      </c>
      <c r="B581" s="11">
        <f t="shared" si="11"/>
        <v>276.99642041018922</v>
      </c>
    </row>
    <row r="582" spans="1:2" x14ac:dyDescent="0.3">
      <c r="A582" s="11">
        <v>26.899999999999601</v>
      </c>
      <c r="B582" s="11">
        <f t="shared" si="11"/>
        <v>274.96667783044359</v>
      </c>
    </row>
    <row r="583" spans="1:2" x14ac:dyDescent="0.3">
      <c r="A583" s="11">
        <v>26.949999999999601</v>
      </c>
      <c r="B583" s="11">
        <f t="shared" si="11"/>
        <v>272.95549169948106</v>
      </c>
    </row>
    <row r="584" spans="1:2" x14ac:dyDescent="0.3">
      <c r="A584" s="11">
        <v>26.999999999999599</v>
      </c>
      <c r="B584" s="11">
        <f t="shared" si="11"/>
        <v>270.96265882444919</v>
      </c>
    </row>
    <row r="585" spans="1:2" x14ac:dyDescent="0.3">
      <c r="A585" s="11">
        <v>27.049999999999599</v>
      </c>
      <c r="B585" s="11">
        <f t="shared" si="11"/>
        <v>268.98797860338027</v>
      </c>
    </row>
    <row r="586" spans="1:2" x14ac:dyDescent="0.3">
      <c r="A586" s="11">
        <v>27.0999999999996</v>
      </c>
      <c r="B586" s="11">
        <f t="shared" si="11"/>
        <v>267.03125298751149</v>
      </c>
    </row>
    <row r="587" spans="1:2" x14ac:dyDescent="0.3">
      <c r="A587" s="11">
        <v>27.149999999999601</v>
      </c>
      <c r="B587" s="11">
        <f t="shared" si="11"/>
        <v>265.09228644421268</v>
      </c>
    </row>
    <row r="588" spans="1:2" x14ac:dyDescent="0.3">
      <c r="A588" s="11">
        <v>27.199999999999601</v>
      </c>
      <c r="B588" s="11">
        <f t="shared" si="11"/>
        <v>263.17088592052363</v>
      </c>
    </row>
    <row r="589" spans="1:2" x14ac:dyDescent="0.3">
      <c r="A589" s="11">
        <v>27.249999999999599</v>
      </c>
      <c r="B589" s="11">
        <f t="shared" si="11"/>
        <v>261.26686080728274</v>
      </c>
    </row>
    <row r="590" spans="1:2" x14ac:dyDescent="0.3">
      <c r="A590" s="11">
        <v>27.299999999999599</v>
      </c>
      <c r="B590" s="11">
        <f t="shared" si="11"/>
        <v>259.38002290383594</v>
      </c>
    </row>
    <row r="591" spans="1:2" x14ac:dyDescent="0.3">
      <c r="A591" s="11">
        <v>27.3499999999996</v>
      </c>
      <c r="B591" s="11">
        <f t="shared" si="11"/>
        <v>257.51018638332459</v>
      </c>
    </row>
    <row r="592" spans="1:2" x14ac:dyDescent="0.3">
      <c r="A592" s="11">
        <v>27.399999999999601</v>
      </c>
      <c r="B592" s="11">
        <f t="shared" si="11"/>
        <v>255.65716775852829</v>
      </c>
    </row>
    <row r="593" spans="1:2" x14ac:dyDescent="0.3">
      <c r="A593" s="11">
        <v>27.449999999999601</v>
      </c>
      <c r="B593" s="11">
        <f t="shared" si="11"/>
        <v>253.82078584826246</v>
      </c>
    </row>
    <row r="594" spans="1:2" x14ac:dyDescent="0.3">
      <c r="A594" s="11">
        <v>27.499999999999599</v>
      </c>
      <c r="B594" s="11">
        <f t="shared" si="11"/>
        <v>252.00086174431866</v>
      </c>
    </row>
    <row r="595" spans="1:2" x14ac:dyDescent="0.3">
      <c r="A595" s="11">
        <v>27.549999999999599</v>
      </c>
      <c r="B595" s="11">
        <f t="shared" si="11"/>
        <v>250.19721877893488</v>
      </c>
    </row>
    <row r="596" spans="1:2" x14ac:dyDescent="0.3">
      <c r="A596" s="11">
        <v>27.5999999999996</v>
      </c>
      <c r="B596" s="11">
        <f t="shared" si="11"/>
        <v>248.40968249279183</v>
      </c>
    </row>
    <row r="597" spans="1:2" x14ac:dyDescent="0.3">
      <c r="A597" s="11">
        <v>27.649999999999601</v>
      </c>
      <c r="B597" s="11">
        <f t="shared" si="11"/>
        <v>246.63808060351857</v>
      </c>
    </row>
    <row r="598" spans="1:2" x14ac:dyDescent="0.3">
      <c r="A598" s="11">
        <v>27.699999999999601</v>
      </c>
      <c r="B598" s="11">
        <f t="shared" si="11"/>
        <v>244.88224297470512</v>
      </c>
    </row>
    <row r="599" spans="1:2" x14ac:dyDescent="0.3">
      <c r="A599" s="11">
        <v>27.749999999999599</v>
      </c>
      <c r="B599" s="11">
        <f t="shared" si="11"/>
        <v>243.14200158541061</v>
      </c>
    </row>
    <row r="600" spans="1:2" x14ac:dyDescent="0.3">
      <c r="A600" s="11">
        <v>27.799999999999599</v>
      </c>
      <c r="B600" s="11">
        <f t="shared" si="11"/>
        <v>241.41719050015644</v>
      </c>
    </row>
    <row r="601" spans="1:2" x14ac:dyDescent="0.3">
      <c r="A601" s="11">
        <v>27.8499999999996</v>
      </c>
      <c r="B601" s="11">
        <f t="shared" si="11"/>
        <v>239.70764583939771</v>
      </c>
    </row>
    <row r="602" spans="1:2" x14ac:dyDescent="0.3">
      <c r="A602" s="11">
        <v>27.899999999999601</v>
      </c>
      <c r="B602" s="11">
        <f t="shared" si="11"/>
        <v>238.01320575046626</v>
      </c>
    </row>
    <row r="603" spans="1:2" x14ac:dyDescent="0.3">
      <c r="A603" s="11">
        <v>27.949999999999601</v>
      </c>
      <c r="B603" s="11">
        <f t="shared" si="11"/>
        <v>236.33371037897018</v>
      </c>
    </row>
    <row r="604" spans="1:2" x14ac:dyDescent="0.3">
      <c r="A604" s="11">
        <v>27.999999999999599</v>
      </c>
      <c r="B604" s="11">
        <f t="shared" si="11"/>
        <v>234.66900184065301</v>
      </c>
    </row>
    <row r="605" spans="1:2" x14ac:dyDescent="0.3">
      <c r="A605" s="11">
        <v>28.049999999999599</v>
      </c>
      <c r="B605" s="11">
        <f t="shared" si="11"/>
        <v>233.01892419369082</v>
      </c>
    </row>
    <row r="606" spans="1:2" x14ac:dyDescent="0.3">
      <c r="A606" s="11">
        <v>28.0999999999996</v>
      </c>
      <c r="B606" s="11">
        <f t="shared" si="11"/>
        <v>231.38332341143371</v>
      </c>
    </row>
    <row r="607" spans="1:2" x14ac:dyDescent="0.3">
      <c r="A607" s="11">
        <v>28.149999999999601</v>
      </c>
      <c r="B607" s="11">
        <f t="shared" si="11"/>
        <v>229.76204735557104</v>
      </c>
    </row>
    <row r="608" spans="1:2" x14ac:dyDescent="0.3">
      <c r="A608" s="11">
        <v>28.199999999999601</v>
      </c>
      <c r="B608" s="11">
        <f t="shared" si="11"/>
        <v>228.15494574972305</v>
      </c>
    </row>
    <row r="609" spans="1:2" x14ac:dyDescent="0.3">
      <c r="A609" s="11">
        <v>28.249999999999599</v>
      </c>
      <c r="B609" s="11">
        <f t="shared" si="11"/>
        <v>226.56187015344349</v>
      </c>
    </row>
    <row r="610" spans="1:2" x14ac:dyDescent="0.3">
      <c r="A610" s="11">
        <v>28.299999999999599</v>
      </c>
      <c r="B610" s="11">
        <f t="shared" si="11"/>
        <v>224.98267393663431</v>
      </c>
    </row>
    <row r="611" spans="1:2" x14ac:dyDescent="0.3">
      <c r="A611" s="11">
        <v>28.3499999999996</v>
      </c>
      <c r="B611" s="11">
        <f t="shared" si="11"/>
        <v>223.4172122543556</v>
      </c>
    </row>
    <row r="612" spans="1:2" x14ac:dyDescent="0.3">
      <c r="A612" s="11">
        <v>28.399999999999601</v>
      </c>
      <c r="B612" s="11">
        <f t="shared" si="11"/>
        <v>221.86534202203549</v>
      </c>
    </row>
    <row r="613" spans="1:2" x14ac:dyDescent="0.3">
      <c r="A613" s="11">
        <v>28.449999999999601</v>
      </c>
      <c r="B613" s="11">
        <f t="shared" si="11"/>
        <v>220.32692189105981</v>
      </c>
    </row>
    <row r="614" spans="1:2" x14ac:dyDescent="0.3">
      <c r="A614" s="11">
        <v>28.499999999999599</v>
      </c>
      <c r="B614" s="11">
        <f t="shared" si="11"/>
        <v>218.80181222474567</v>
      </c>
    </row>
    <row r="615" spans="1:2" x14ac:dyDescent="0.3">
      <c r="A615" s="11">
        <v>28.549999999999599</v>
      </c>
      <c r="B615" s="11">
        <f t="shared" si="11"/>
        <v>217.28987507468932</v>
      </c>
    </row>
    <row r="616" spans="1:2" x14ac:dyDescent="0.3">
      <c r="A616" s="11">
        <v>28.5999999999996</v>
      </c>
      <c r="B616" s="11">
        <f t="shared" si="11"/>
        <v>215.79097415747881</v>
      </c>
    </row>
    <row r="617" spans="1:2" x14ac:dyDescent="0.3">
      <c r="A617" s="11">
        <v>28.649999999999601</v>
      </c>
      <c r="B617" s="11">
        <f t="shared" si="11"/>
        <v>214.30497483176728</v>
      </c>
    </row>
    <row r="618" spans="1:2" x14ac:dyDescent="0.3">
      <c r="A618" s="11">
        <v>28.699999999999601</v>
      </c>
      <c r="B618" s="11">
        <f t="shared" si="11"/>
        <v>212.83174407570331</v>
      </c>
    </row>
    <row r="619" spans="1:2" x14ac:dyDescent="0.3">
      <c r="A619" s="11">
        <v>28.749999999999599</v>
      </c>
      <c r="B619" s="11">
        <f t="shared" si="11"/>
        <v>211.37115046470643</v>
      </c>
    </row>
    <row r="620" spans="1:2" x14ac:dyDescent="0.3">
      <c r="A620" s="11">
        <v>28.799999999999599</v>
      </c>
      <c r="B620" s="11">
        <f t="shared" si="11"/>
        <v>209.92306414958679</v>
      </c>
    </row>
    <row r="621" spans="1:2" x14ac:dyDescent="0.3">
      <c r="A621" s="11">
        <v>28.8499999999996</v>
      </c>
      <c r="B621" s="11">
        <f t="shared" si="11"/>
        <v>208.48735683500274</v>
      </c>
    </row>
    <row r="622" spans="1:2" x14ac:dyDescent="0.3">
      <c r="A622" s="11">
        <v>28.899999999999601</v>
      </c>
      <c r="B622" s="11">
        <f t="shared" ref="B622:B685" si="12">374200000/(A622^5*(EXP(14390/(A622*Temperature))-1))</f>
        <v>207.06390175824603</v>
      </c>
    </row>
    <row r="623" spans="1:2" x14ac:dyDescent="0.3">
      <c r="A623" s="11">
        <v>28.949999999999601</v>
      </c>
      <c r="B623" s="11">
        <f t="shared" si="12"/>
        <v>205.65257366835485</v>
      </c>
    </row>
    <row r="624" spans="1:2" x14ac:dyDescent="0.3">
      <c r="A624" s="11">
        <v>28.999999999999599</v>
      </c>
      <c r="B624" s="11">
        <f t="shared" si="12"/>
        <v>204.25324880554649</v>
      </c>
    </row>
    <row r="625" spans="1:2" x14ac:dyDescent="0.3">
      <c r="A625" s="11">
        <v>29.049999999999599</v>
      </c>
      <c r="B625" s="11">
        <f t="shared" si="12"/>
        <v>202.86580488096149</v>
      </c>
    </row>
    <row r="626" spans="1:2" x14ac:dyDescent="0.3">
      <c r="A626" s="11">
        <v>29.0999999999996</v>
      </c>
      <c r="B626" s="11">
        <f t="shared" si="12"/>
        <v>201.4901210567206</v>
      </c>
    </row>
    <row r="627" spans="1:2" x14ac:dyDescent="0.3">
      <c r="A627" s="11">
        <v>29.149999999999601</v>
      </c>
      <c r="B627" s="11">
        <f t="shared" si="12"/>
        <v>200.12607792628233</v>
      </c>
    </row>
    <row r="628" spans="1:2" x14ac:dyDescent="0.3">
      <c r="A628" s="11">
        <v>29.199999999999601</v>
      </c>
      <c r="B628" s="11">
        <f t="shared" si="12"/>
        <v>198.77355749510221</v>
      </c>
    </row>
    <row r="629" spans="1:2" x14ac:dyDescent="0.3">
      <c r="A629" s="11">
        <v>29.249999999999599</v>
      </c>
      <c r="B629" s="11">
        <f t="shared" si="12"/>
        <v>197.43244316158132</v>
      </c>
    </row>
    <row r="630" spans="1:2" x14ac:dyDescent="0.3">
      <c r="A630" s="11">
        <v>29.299999999999599</v>
      </c>
      <c r="B630" s="11">
        <f t="shared" si="12"/>
        <v>196.10261969830773</v>
      </c>
    </row>
    <row r="631" spans="1:2" x14ac:dyDescent="0.3">
      <c r="A631" s="11">
        <v>29.3499999999996</v>
      </c>
      <c r="B631" s="11">
        <f t="shared" si="12"/>
        <v>194.783973233578</v>
      </c>
    </row>
    <row r="632" spans="1:2" x14ac:dyDescent="0.3">
      <c r="A632" s="11">
        <v>29.399999999999601</v>
      </c>
      <c r="B632" s="11">
        <f t="shared" si="12"/>
        <v>193.47639123320269</v>
      </c>
    </row>
    <row r="633" spans="1:2" x14ac:dyDescent="0.3">
      <c r="A633" s="11">
        <v>29.449999999999601</v>
      </c>
      <c r="B633" s="11">
        <f t="shared" si="12"/>
        <v>192.17976248257835</v>
      </c>
    </row>
    <row r="634" spans="1:2" x14ac:dyDescent="0.3">
      <c r="A634" s="11">
        <v>29.499999999999599</v>
      </c>
      <c r="B634" s="11">
        <f t="shared" si="12"/>
        <v>190.89397706903873</v>
      </c>
    </row>
    <row r="635" spans="1:2" x14ac:dyDescent="0.3">
      <c r="A635" s="11">
        <v>29.549999999999599</v>
      </c>
      <c r="B635" s="11">
        <f t="shared" si="12"/>
        <v>189.61892636446345</v>
      </c>
    </row>
    <row r="636" spans="1:2" x14ac:dyDescent="0.3">
      <c r="A636" s="11">
        <v>29.5999999999996</v>
      </c>
      <c r="B636" s="11">
        <f t="shared" si="12"/>
        <v>188.35450300815069</v>
      </c>
    </row>
    <row r="637" spans="1:2" x14ac:dyDescent="0.3">
      <c r="A637" s="11">
        <v>29.649999999999601</v>
      </c>
      <c r="B637" s="11">
        <f t="shared" si="12"/>
        <v>187.10060088994661</v>
      </c>
    </row>
    <row r="638" spans="1:2" x14ac:dyDescent="0.3">
      <c r="A638" s="11">
        <v>29.699999999999601</v>
      </c>
      <c r="B638" s="11">
        <f t="shared" si="12"/>
        <v>185.85711513362719</v>
      </c>
    </row>
    <row r="639" spans="1:2" x14ac:dyDescent="0.3">
      <c r="A639" s="11">
        <v>29.749999999999599</v>
      </c>
      <c r="B639" s="11">
        <f t="shared" si="12"/>
        <v>184.62394208052581</v>
      </c>
    </row>
    <row r="640" spans="1:2" x14ac:dyDescent="0.3">
      <c r="A640" s="11">
        <v>29.799999999999599</v>
      </c>
      <c r="B640" s="11">
        <f t="shared" si="12"/>
        <v>183.40097927340801</v>
      </c>
    </row>
    <row r="641" spans="1:2" x14ac:dyDescent="0.3">
      <c r="A641" s="11">
        <v>29.8499999999996</v>
      </c>
      <c r="B641" s="11">
        <f t="shared" si="12"/>
        <v>182.18812544058287</v>
      </c>
    </row>
    <row r="642" spans="1:2" x14ac:dyDescent="0.3">
      <c r="A642" s="11">
        <v>29.899999999999601</v>
      </c>
      <c r="B642" s="11">
        <f t="shared" si="12"/>
        <v>180.9852804802531</v>
      </c>
    </row>
    <row r="643" spans="1:2" x14ac:dyDescent="0.3">
      <c r="A643" s="11">
        <v>29.949999999999601</v>
      </c>
      <c r="B643" s="11">
        <f t="shared" si="12"/>
        <v>179.79234544509518</v>
      </c>
    </row>
    <row r="644" spans="1:2" x14ac:dyDescent="0.3">
      <c r="A644" s="11">
        <v>29.999999999999599</v>
      </c>
      <c r="B644" s="11">
        <f t="shared" si="12"/>
        <v>178.60922252707007</v>
      </c>
    </row>
    <row r="645" spans="1:2" x14ac:dyDescent="0.3">
      <c r="A645" s="11">
        <v>30.049999999999599</v>
      </c>
      <c r="B645" s="11">
        <f t="shared" si="12"/>
        <v>177.43581504245427</v>
      </c>
    </row>
    <row r="646" spans="1:2" x14ac:dyDescent="0.3">
      <c r="A646" s="11">
        <v>30.0999999999996</v>
      </c>
      <c r="B646" s="11">
        <f t="shared" si="12"/>
        <v>176.27202741709732</v>
      </c>
    </row>
    <row r="647" spans="1:2" x14ac:dyDescent="0.3">
      <c r="A647" s="11">
        <v>30.149999999999601</v>
      </c>
      <c r="B647" s="11">
        <f t="shared" si="12"/>
        <v>175.1177651718908</v>
      </c>
    </row>
    <row r="648" spans="1:2" x14ac:dyDescent="0.3">
      <c r="A648" s="11">
        <v>30.199999999999601</v>
      </c>
      <c r="B648" s="11">
        <f t="shared" si="12"/>
        <v>173.97293490845607</v>
      </c>
    </row>
    <row r="649" spans="1:2" x14ac:dyDescent="0.3">
      <c r="A649" s="11">
        <v>30.249999999999599</v>
      </c>
      <c r="B649" s="11">
        <f t="shared" si="12"/>
        <v>172.83744429503867</v>
      </c>
    </row>
    <row r="650" spans="1:2" x14ac:dyDescent="0.3">
      <c r="A650" s="11">
        <v>30.299999999999599</v>
      </c>
      <c r="B650" s="11">
        <f t="shared" si="12"/>
        <v>171.711202052609</v>
      </c>
    </row>
    <row r="651" spans="1:2" x14ac:dyDescent="0.3">
      <c r="A651" s="11">
        <v>30.3499999999996</v>
      </c>
      <c r="B651" s="11">
        <f t="shared" si="12"/>
        <v>170.59411794117082</v>
      </c>
    </row>
    <row r="652" spans="1:2" x14ac:dyDescent="0.3">
      <c r="A652" s="11">
        <v>30.399999999999601</v>
      </c>
      <c r="B652" s="11">
        <f t="shared" si="12"/>
        <v>169.48610274626566</v>
      </c>
    </row>
    <row r="653" spans="1:2" x14ac:dyDescent="0.3">
      <c r="A653" s="11">
        <v>30.449999999999601</v>
      </c>
      <c r="B653" s="11">
        <f t="shared" si="12"/>
        <v>168.38706826567454</v>
      </c>
    </row>
    <row r="654" spans="1:2" x14ac:dyDescent="0.3">
      <c r="A654" s="11">
        <v>30.499999999999599</v>
      </c>
      <c r="B654" s="11">
        <f t="shared" si="12"/>
        <v>167.29692729631572</v>
      </c>
    </row>
    <row r="655" spans="1:2" x14ac:dyDescent="0.3">
      <c r="A655" s="11">
        <v>30.549999999999599</v>
      </c>
      <c r="B655" s="11">
        <f t="shared" si="12"/>
        <v>166.21559362132945</v>
      </c>
    </row>
    <row r="656" spans="1:2" x14ac:dyDescent="0.3">
      <c r="A656" s="11">
        <v>30.5999999999996</v>
      </c>
      <c r="B656" s="11">
        <f t="shared" si="12"/>
        <v>165.1429819973543</v>
      </c>
    </row>
    <row r="657" spans="1:2" x14ac:dyDescent="0.3">
      <c r="A657" s="11">
        <v>30.649999999999601</v>
      </c>
      <c r="B657" s="11">
        <f t="shared" si="12"/>
        <v>164.07900814198402</v>
      </c>
    </row>
    <row r="658" spans="1:2" x14ac:dyDescent="0.3">
      <c r="A658" s="11">
        <v>30.699999999999601</v>
      </c>
      <c r="B658" s="11">
        <f t="shared" si="12"/>
        <v>163.02358872140834</v>
      </c>
    </row>
    <row r="659" spans="1:2" x14ac:dyDescent="0.3">
      <c r="A659" s="11">
        <v>30.749999999999599</v>
      </c>
      <c r="B659" s="11">
        <f t="shared" si="12"/>
        <v>161.97664133823196</v>
      </c>
    </row>
    <row r="660" spans="1:2" x14ac:dyDescent="0.3">
      <c r="A660" s="11">
        <v>30.799999999999599</v>
      </c>
      <c r="B660" s="11">
        <f t="shared" si="12"/>
        <v>160.93808451946722</v>
      </c>
    </row>
    <row r="661" spans="1:2" x14ac:dyDescent="0.3">
      <c r="A661" s="11">
        <v>30.8499999999996</v>
      </c>
      <c r="B661" s="11">
        <f t="shared" si="12"/>
        <v>159.90783770470324</v>
      </c>
    </row>
    <row r="662" spans="1:2" x14ac:dyDescent="0.3">
      <c r="A662" s="11">
        <v>30.899999999999601</v>
      </c>
      <c r="B662" s="11">
        <f t="shared" si="12"/>
        <v>158.88582123444235</v>
      </c>
    </row>
    <row r="663" spans="1:2" x14ac:dyDescent="0.3">
      <c r="A663" s="11">
        <v>30.949999999999601</v>
      </c>
      <c r="B663" s="11">
        <f t="shared" si="12"/>
        <v>157.87195633860347</v>
      </c>
    </row>
    <row r="664" spans="1:2" x14ac:dyDescent="0.3">
      <c r="A664" s="11">
        <v>30.999999999999599</v>
      </c>
      <c r="B664" s="11">
        <f t="shared" si="12"/>
        <v>156.8661651251943</v>
      </c>
    </row>
    <row r="665" spans="1:2" x14ac:dyDescent="0.3">
      <c r="A665" s="11">
        <v>31.049999999999599</v>
      </c>
      <c r="B665" s="11">
        <f t="shared" si="12"/>
        <v>155.86837056914027</v>
      </c>
    </row>
    <row r="666" spans="1:2" x14ac:dyDescent="0.3">
      <c r="A666" s="11">
        <v>31.0999999999995</v>
      </c>
      <c r="B666" s="11">
        <f t="shared" si="12"/>
        <v>154.87849650127882</v>
      </c>
    </row>
    <row r="667" spans="1:2" x14ac:dyDescent="0.3">
      <c r="A667" s="11">
        <v>31.149999999999601</v>
      </c>
      <c r="B667" s="11">
        <f t="shared" si="12"/>
        <v>153.89646759749806</v>
      </c>
    </row>
    <row r="668" spans="1:2" x14ac:dyDescent="0.3">
      <c r="A668" s="11">
        <v>31.199999999999601</v>
      </c>
      <c r="B668" s="11">
        <f t="shared" si="12"/>
        <v>152.92220936805808</v>
      </c>
    </row>
    <row r="669" spans="1:2" x14ac:dyDescent="0.3">
      <c r="A669" s="11">
        <v>31.249999999999499</v>
      </c>
      <c r="B669" s="11">
        <f t="shared" si="12"/>
        <v>151.95564814702877</v>
      </c>
    </row>
    <row r="670" spans="1:2" x14ac:dyDescent="0.3">
      <c r="A670" s="11">
        <v>31.2999999999995</v>
      </c>
      <c r="B670" s="11">
        <f t="shared" si="12"/>
        <v>150.99671108189483</v>
      </c>
    </row>
    <row r="671" spans="1:2" x14ac:dyDescent="0.3">
      <c r="A671" s="11">
        <v>31.3499999999995</v>
      </c>
      <c r="B671" s="11">
        <f t="shared" si="12"/>
        <v>150.04532612331946</v>
      </c>
    </row>
    <row r="672" spans="1:2" x14ac:dyDescent="0.3">
      <c r="A672" s="11">
        <v>31.399999999999501</v>
      </c>
      <c r="B672" s="11">
        <f t="shared" si="12"/>
        <v>149.10142201503194</v>
      </c>
    </row>
    <row r="673" spans="1:2" x14ac:dyDescent="0.3">
      <c r="A673" s="11">
        <v>31.449999999999498</v>
      </c>
      <c r="B673" s="11">
        <f t="shared" si="12"/>
        <v>148.16492828386902</v>
      </c>
    </row>
    <row r="674" spans="1:2" x14ac:dyDescent="0.3">
      <c r="A674" s="11">
        <v>31.499999999999499</v>
      </c>
      <c r="B674" s="11">
        <f t="shared" si="12"/>
        <v>147.23577522995652</v>
      </c>
    </row>
    <row r="675" spans="1:2" x14ac:dyDescent="0.3">
      <c r="A675" s="11">
        <v>31.5499999999995</v>
      </c>
      <c r="B675" s="11">
        <f t="shared" si="12"/>
        <v>146.31389391702467</v>
      </c>
    </row>
    <row r="676" spans="1:2" x14ac:dyDescent="0.3">
      <c r="A676" s="11">
        <v>31.5999999999995</v>
      </c>
      <c r="B676" s="11">
        <f t="shared" si="12"/>
        <v>145.39921616286605</v>
      </c>
    </row>
    <row r="677" spans="1:2" x14ac:dyDescent="0.3">
      <c r="A677" s="11">
        <v>31.649999999999501</v>
      </c>
      <c r="B677" s="11">
        <f t="shared" si="12"/>
        <v>144.49167452992191</v>
      </c>
    </row>
    <row r="678" spans="1:2" x14ac:dyDescent="0.3">
      <c r="A678" s="11">
        <v>31.699999999999498</v>
      </c>
      <c r="B678" s="11">
        <f t="shared" si="12"/>
        <v>143.59120231600306</v>
      </c>
    </row>
    <row r="679" spans="1:2" x14ac:dyDescent="0.3">
      <c r="A679" s="11">
        <v>31.749999999999499</v>
      </c>
      <c r="B679" s="11">
        <f t="shared" si="12"/>
        <v>142.6977335451403</v>
      </c>
    </row>
    <row r="680" spans="1:2" x14ac:dyDescent="0.3">
      <c r="A680" s="11">
        <v>31.7999999999995</v>
      </c>
      <c r="B680" s="11">
        <f t="shared" si="12"/>
        <v>141.81120295856329</v>
      </c>
    </row>
    <row r="681" spans="1:2" x14ac:dyDescent="0.3">
      <c r="A681" s="11">
        <v>31.8499999999995</v>
      </c>
      <c r="B681" s="11">
        <f t="shared" si="12"/>
        <v>140.93154600580351</v>
      </c>
    </row>
    <row r="682" spans="1:2" x14ac:dyDescent="0.3">
      <c r="A682" s="11">
        <v>31.899999999999501</v>
      </c>
      <c r="B682" s="11">
        <f t="shared" si="12"/>
        <v>140.05869883592311</v>
      </c>
    </row>
    <row r="683" spans="1:2" x14ac:dyDescent="0.3">
      <c r="A683" s="11">
        <v>31.949999999999498</v>
      </c>
      <c r="B683" s="11">
        <f t="shared" si="12"/>
        <v>139.19259828886459</v>
      </c>
    </row>
    <row r="684" spans="1:2" x14ac:dyDescent="0.3">
      <c r="A684" s="11">
        <v>31.999999999999499</v>
      </c>
      <c r="B684" s="11">
        <f t="shared" si="12"/>
        <v>138.33318188692084</v>
      </c>
    </row>
    <row r="685" spans="1:2" x14ac:dyDescent="0.3">
      <c r="A685" s="11">
        <v>32.0499999999995</v>
      </c>
      <c r="B685" s="11">
        <f t="shared" si="12"/>
        <v>137.48038782632418</v>
      </c>
    </row>
    <row r="686" spans="1:2" x14ac:dyDescent="0.3">
      <c r="A686" s="11">
        <v>32.099999999999497</v>
      </c>
      <c r="B686" s="11">
        <f t="shared" ref="B686:B749" si="13">374200000/(A686^5*(EXP(14390/(A686*Temperature))-1))</f>
        <v>136.63415496895109</v>
      </c>
    </row>
    <row r="687" spans="1:2" x14ac:dyDescent="0.3">
      <c r="A687" s="11">
        <v>32.149999999999501</v>
      </c>
      <c r="B687" s="11">
        <f t="shared" si="13"/>
        <v>135.7944228341413</v>
      </c>
    </row>
    <row r="688" spans="1:2" x14ac:dyDescent="0.3">
      <c r="A688" s="11">
        <v>32.199999999999498</v>
      </c>
      <c r="B688" s="11">
        <f t="shared" si="13"/>
        <v>134.96113159063134</v>
      </c>
    </row>
    <row r="689" spans="1:2" x14ac:dyDescent="0.3">
      <c r="A689" s="11">
        <v>32.249999999999503</v>
      </c>
      <c r="B689" s="11">
        <f t="shared" si="13"/>
        <v>134.13422204859722</v>
      </c>
    </row>
    <row r="690" spans="1:2" x14ac:dyDescent="0.3">
      <c r="A690" s="11">
        <v>32.2999999999995</v>
      </c>
      <c r="B690" s="11">
        <f t="shared" si="13"/>
        <v>133.31363565180817</v>
      </c>
    </row>
    <row r="691" spans="1:2" x14ac:dyDescent="0.3">
      <c r="A691" s="11">
        <v>32.349999999999497</v>
      </c>
      <c r="B691" s="11">
        <f t="shared" si="13"/>
        <v>132.49931446988768</v>
      </c>
    </row>
    <row r="692" spans="1:2" x14ac:dyDescent="0.3">
      <c r="A692" s="11">
        <v>32.399999999999501</v>
      </c>
      <c r="B692" s="11">
        <f t="shared" si="13"/>
        <v>131.69120119068057</v>
      </c>
    </row>
    <row r="693" spans="1:2" x14ac:dyDescent="0.3">
      <c r="A693" s="11">
        <v>32.449999999999498</v>
      </c>
      <c r="B693" s="11">
        <f t="shared" si="13"/>
        <v>130.88923911272565</v>
      </c>
    </row>
    <row r="694" spans="1:2" x14ac:dyDescent="0.3">
      <c r="A694" s="11">
        <v>32.499999999999503</v>
      </c>
      <c r="B694" s="11">
        <f t="shared" si="13"/>
        <v>130.09337213782857</v>
      </c>
    </row>
    <row r="695" spans="1:2" x14ac:dyDescent="0.3">
      <c r="A695" s="11">
        <v>32.5499999999995</v>
      </c>
      <c r="B695" s="11">
        <f t="shared" si="13"/>
        <v>129.30354476373995</v>
      </c>
    </row>
    <row r="696" spans="1:2" x14ac:dyDescent="0.3">
      <c r="A696" s="11">
        <v>32.599999999999497</v>
      </c>
      <c r="B696" s="11">
        <f t="shared" si="13"/>
        <v>128.51970207693014</v>
      </c>
    </row>
    <row r="697" spans="1:2" x14ac:dyDescent="0.3">
      <c r="A697" s="11">
        <v>32.649999999999501</v>
      </c>
      <c r="B697" s="11">
        <f t="shared" si="13"/>
        <v>127.74178974546435</v>
      </c>
    </row>
    <row r="698" spans="1:2" x14ac:dyDescent="0.3">
      <c r="A698" s="11">
        <v>32.699999999999498</v>
      </c>
      <c r="B698" s="11">
        <f t="shared" si="13"/>
        <v>126.96975401197307</v>
      </c>
    </row>
    <row r="699" spans="1:2" x14ac:dyDescent="0.3">
      <c r="A699" s="11">
        <v>32.749999999999503</v>
      </c>
      <c r="B699" s="11">
        <f t="shared" si="13"/>
        <v>126.20354168671962</v>
      </c>
    </row>
    <row r="700" spans="1:2" x14ac:dyDescent="0.3">
      <c r="A700" s="11">
        <v>32.7999999999995</v>
      </c>
      <c r="B700" s="11">
        <f t="shared" si="13"/>
        <v>125.44310014076106</v>
      </c>
    </row>
    <row r="701" spans="1:2" x14ac:dyDescent="0.3">
      <c r="A701" s="11">
        <v>32.849999999999497</v>
      </c>
      <c r="B701" s="11">
        <f t="shared" si="13"/>
        <v>124.6883772991995</v>
      </c>
    </row>
    <row r="702" spans="1:2" x14ac:dyDescent="0.3">
      <c r="A702" s="11">
        <v>32.899999999999501</v>
      </c>
      <c r="B702" s="11">
        <f t="shared" si="13"/>
        <v>123.93932163452857</v>
      </c>
    </row>
    <row r="703" spans="1:2" x14ac:dyDescent="0.3">
      <c r="A703" s="11">
        <v>32.949999999999498</v>
      </c>
      <c r="B703" s="11">
        <f t="shared" si="13"/>
        <v>123.19588216006746</v>
      </c>
    </row>
    <row r="704" spans="1:2" x14ac:dyDescent="0.3">
      <c r="A704" s="11">
        <v>32.999999999999503</v>
      </c>
      <c r="B704" s="11">
        <f t="shared" si="13"/>
        <v>122.45800842348137</v>
      </c>
    </row>
    <row r="705" spans="1:2" x14ac:dyDescent="0.3">
      <c r="A705" s="11">
        <v>33.0499999999995</v>
      </c>
      <c r="B705" s="11">
        <f t="shared" si="13"/>
        <v>121.72565050039486</v>
      </c>
    </row>
    <row r="706" spans="1:2" x14ac:dyDescent="0.3">
      <c r="A706" s="11">
        <v>33.099999999999497</v>
      </c>
      <c r="B706" s="11">
        <f t="shared" si="13"/>
        <v>120.99875898808378</v>
      </c>
    </row>
    <row r="707" spans="1:2" x14ac:dyDescent="0.3">
      <c r="A707" s="11">
        <v>33.149999999999501</v>
      </c>
      <c r="B707" s="11">
        <f t="shared" si="13"/>
        <v>120.27728499925827</v>
      </c>
    </row>
    <row r="708" spans="1:2" x14ac:dyDescent="0.3">
      <c r="A708" s="11">
        <v>33.199999999999498</v>
      </c>
      <c r="B708" s="11">
        <f t="shared" si="13"/>
        <v>119.5611801559251</v>
      </c>
    </row>
    <row r="709" spans="1:2" x14ac:dyDescent="0.3">
      <c r="A709" s="11">
        <v>33.249999999999503</v>
      </c>
      <c r="B709" s="11">
        <f t="shared" si="13"/>
        <v>118.85039658333314</v>
      </c>
    </row>
    <row r="710" spans="1:2" x14ac:dyDescent="0.3">
      <c r="A710" s="11">
        <v>33.2999999999995</v>
      </c>
      <c r="B710" s="11">
        <f t="shared" si="13"/>
        <v>118.14488690400037</v>
      </c>
    </row>
    <row r="711" spans="1:2" x14ac:dyDescent="0.3">
      <c r="A711" s="11">
        <v>33.349999999999497</v>
      </c>
      <c r="B711" s="11">
        <f t="shared" si="13"/>
        <v>117.4446042318195</v>
      </c>
    </row>
    <row r="712" spans="1:2" x14ac:dyDescent="0.3">
      <c r="A712" s="11">
        <v>33.399999999999501</v>
      </c>
      <c r="B712" s="11">
        <f t="shared" si="13"/>
        <v>116.749502166242</v>
      </c>
    </row>
    <row r="713" spans="1:2" x14ac:dyDescent="0.3">
      <c r="A713" s="11">
        <v>33.449999999999498</v>
      </c>
      <c r="B713" s="11">
        <f t="shared" si="13"/>
        <v>116.05953478654158</v>
      </c>
    </row>
    <row r="714" spans="1:2" x14ac:dyDescent="0.3">
      <c r="A714" s="11">
        <v>33.499999999999503</v>
      </c>
      <c r="B714" s="11">
        <f t="shared" si="13"/>
        <v>115.3746566461506</v>
      </c>
    </row>
    <row r="715" spans="1:2" x14ac:dyDescent="0.3">
      <c r="A715" s="11">
        <v>33.5499999999995</v>
      </c>
      <c r="B715" s="11">
        <f t="shared" si="13"/>
        <v>114.6948227670735</v>
      </c>
    </row>
    <row r="716" spans="1:2" x14ac:dyDescent="0.3">
      <c r="A716" s="11">
        <v>33.599999999999497</v>
      </c>
      <c r="B716" s="11">
        <f t="shared" si="13"/>
        <v>114.01998863437473</v>
      </c>
    </row>
    <row r="717" spans="1:2" x14ac:dyDescent="0.3">
      <c r="A717" s="11">
        <v>33.649999999999501</v>
      </c>
      <c r="B717" s="11">
        <f t="shared" si="13"/>
        <v>113.35011019073757</v>
      </c>
    </row>
    <row r="718" spans="1:2" x14ac:dyDescent="0.3">
      <c r="A718" s="11">
        <v>33.699999999999498</v>
      </c>
      <c r="B718" s="11">
        <f t="shared" si="13"/>
        <v>112.68514383109607</v>
      </c>
    </row>
    <row r="719" spans="1:2" x14ac:dyDescent="0.3">
      <c r="A719" s="11">
        <v>33.749999999999503</v>
      </c>
      <c r="B719" s="11">
        <f t="shared" si="13"/>
        <v>112.02504639733772</v>
      </c>
    </row>
    <row r="720" spans="1:2" x14ac:dyDescent="0.3">
      <c r="A720" s="11">
        <v>33.7999999999995</v>
      </c>
      <c r="B720" s="11">
        <f t="shared" si="13"/>
        <v>111.36977517307542</v>
      </c>
    </row>
    <row r="721" spans="1:2" x14ac:dyDescent="0.3">
      <c r="A721" s="11">
        <v>33.849999999999497</v>
      </c>
      <c r="B721" s="11">
        <f t="shared" si="13"/>
        <v>110.71928787848864</v>
      </c>
    </row>
    <row r="722" spans="1:2" x14ac:dyDescent="0.3">
      <c r="A722" s="11">
        <v>33.899999999999501</v>
      </c>
      <c r="B722" s="11">
        <f t="shared" si="13"/>
        <v>110.0735426652306</v>
      </c>
    </row>
    <row r="723" spans="1:2" x14ac:dyDescent="0.3">
      <c r="A723" s="11">
        <v>33.949999999999498</v>
      </c>
      <c r="B723" s="11">
        <f t="shared" si="13"/>
        <v>109.43249811140545</v>
      </c>
    </row>
    <row r="724" spans="1:2" x14ac:dyDescent="0.3">
      <c r="A724" s="11">
        <v>33.999999999999503</v>
      </c>
      <c r="B724" s="11">
        <f t="shared" si="13"/>
        <v>108.79611321660767</v>
      </c>
    </row>
    <row r="725" spans="1:2" x14ac:dyDescent="0.3">
      <c r="A725" s="11">
        <v>34.0499999999995</v>
      </c>
      <c r="B725" s="11">
        <f t="shared" si="13"/>
        <v>108.16434739702896</v>
      </c>
    </row>
    <row r="726" spans="1:2" x14ac:dyDescent="0.3">
      <c r="A726" s="11">
        <v>34.099999999999497</v>
      </c>
      <c r="B726" s="11">
        <f t="shared" si="13"/>
        <v>107.53716048062583</v>
      </c>
    </row>
    <row r="727" spans="1:2" x14ac:dyDescent="0.3">
      <c r="A727" s="11">
        <v>34.149999999999501</v>
      </c>
      <c r="B727" s="11">
        <f t="shared" si="13"/>
        <v>106.91451270235471</v>
      </c>
    </row>
    <row r="728" spans="1:2" x14ac:dyDescent="0.3">
      <c r="A728" s="11">
        <v>34.199999999999498</v>
      </c>
      <c r="B728" s="11">
        <f t="shared" si="13"/>
        <v>106.29636469946432</v>
      </c>
    </row>
    <row r="729" spans="1:2" x14ac:dyDescent="0.3">
      <c r="A729" s="11">
        <v>34.249999999999503</v>
      </c>
      <c r="B729" s="11">
        <f t="shared" si="13"/>
        <v>105.68267750685222</v>
      </c>
    </row>
    <row r="730" spans="1:2" x14ac:dyDescent="0.3">
      <c r="A730" s="11">
        <v>34.2999999999995</v>
      </c>
      <c r="B730" s="11">
        <f t="shared" si="13"/>
        <v>105.07341255248082</v>
      </c>
    </row>
    <row r="731" spans="1:2" x14ac:dyDescent="0.3">
      <c r="A731" s="11">
        <v>34.349999999999497</v>
      </c>
      <c r="B731" s="11">
        <f t="shared" si="13"/>
        <v>104.46853165285141</v>
      </c>
    </row>
    <row r="732" spans="1:2" x14ac:dyDescent="0.3">
      <c r="A732" s="11">
        <v>34.399999999999501</v>
      </c>
      <c r="B732" s="11">
        <f t="shared" si="13"/>
        <v>103.86799700853928</v>
      </c>
    </row>
    <row r="733" spans="1:2" x14ac:dyDescent="0.3">
      <c r="A733" s="11">
        <v>34.449999999999498</v>
      </c>
      <c r="B733" s="11">
        <f t="shared" si="13"/>
        <v>103.2717711997845</v>
      </c>
    </row>
    <row r="734" spans="1:2" x14ac:dyDescent="0.3">
      <c r="A734" s="11">
        <v>34.499999999999503</v>
      </c>
      <c r="B734" s="11">
        <f t="shared" si="13"/>
        <v>102.67981718213922</v>
      </c>
    </row>
    <row r="735" spans="1:2" x14ac:dyDescent="0.3">
      <c r="A735" s="11">
        <v>34.5499999999995</v>
      </c>
      <c r="B735" s="11">
        <f t="shared" si="13"/>
        <v>102.09209828217381</v>
      </c>
    </row>
    <row r="736" spans="1:2" x14ac:dyDescent="0.3">
      <c r="A736" s="11">
        <v>34.599999999999497</v>
      </c>
      <c r="B736" s="11">
        <f t="shared" si="13"/>
        <v>101.50857819323475</v>
      </c>
    </row>
    <row r="737" spans="1:2" x14ac:dyDescent="0.3">
      <c r="A737" s="11">
        <v>34.649999999999501</v>
      </c>
      <c r="B737" s="11">
        <f t="shared" si="13"/>
        <v>100.92922097125943</v>
      </c>
    </row>
    <row r="738" spans="1:2" x14ac:dyDescent="0.3">
      <c r="A738" s="11">
        <v>34.699999999999498</v>
      </c>
      <c r="B738" s="11">
        <f t="shared" si="13"/>
        <v>100.35399103064294</v>
      </c>
    </row>
    <row r="739" spans="1:2" x14ac:dyDescent="0.3">
      <c r="A739" s="11">
        <v>34.749999999999503</v>
      </c>
      <c r="B739" s="11">
        <f t="shared" si="13"/>
        <v>99.782853140159887</v>
      </c>
    </row>
    <row r="740" spans="1:2" x14ac:dyDescent="0.3">
      <c r="A740" s="11">
        <v>34.7999999999995</v>
      </c>
      <c r="B740" s="11">
        <f t="shared" si="13"/>
        <v>99.215772418935501</v>
      </c>
    </row>
    <row r="741" spans="1:2" x14ac:dyDescent="0.3">
      <c r="A741" s="11">
        <v>34.849999999999497</v>
      </c>
      <c r="B741" s="11">
        <f t="shared" si="13"/>
        <v>98.652714332471106</v>
      </c>
    </row>
    <row r="742" spans="1:2" x14ac:dyDescent="0.3">
      <c r="A742" s="11">
        <v>34.899999999999501</v>
      </c>
      <c r="B742" s="11">
        <f t="shared" si="13"/>
        <v>98.093644688717305</v>
      </c>
    </row>
    <row r="743" spans="1:2" x14ac:dyDescent="0.3">
      <c r="A743" s="11">
        <v>34.949999999999498</v>
      </c>
      <c r="B743" s="11">
        <f t="shared" si="13"/>
        <v>97.538529634200671</v>
      </c>
    </row>
    <row r="744" spans="1:2" x14ac:dyDescent="0.3">
      <c r="A744" s="11">
        <v>34.999999999999503</v>
      </c>
      <c r="B744" s="11">
        <f t="shared" si="13"/>
        <v>96.987335650196187</v>
      </c>
    </row>
    <row r="745" spans="1:2" x14ac:dyDescent="0.3">
      <c r="A745" s="11">
        <v>35.0499999999995</v>
      </c>
      <c r="B745" s="11">
        <f t="shared" si="13"/>
        <v>96.440029548950235</v>
      </c>
    </row>
    <row r="746" spans="1:2" x14ac:dyDescent="0.3">
      <c r="A746" s="11">
        <v>35.099999999999497</v>
      </c>
      <c r="B746" s="11">
        <f t="shared" si="13"/>
        <v>95.896578469951663</v>
      </c>
    </row>
    <row r="747" spans="1:2" x14ac:dyDescent="0.3">
      <c r="A747" s="11">
        <v>35.149999999999501</v>
      </c>
      <c r="B747" s="11">
        <f t="shared" si="13"/>
        <v>95.356949876248208</v>
      </c>
    </row>
    <row r="748" spans="1:2" x14ac:dyDescent="0.3">
      <c r="A748" s="11">
        <v>35.199999999999498</v>
      </c>
      <c r="B748" s="11">
        <f t="shared" si="13"/>
        <v>94.82111155081212</v>
      </c>
    </row>
    <row r="749" spans="1:2" x14ac:dyDescent="0.3">
      <c r="A749" s="11">
        <v>35.249999999999503</v>
      </c>
      <c r="B749" s="11">
        <f t="shared" si="13"/>
        <v>94.289031592948874</v>
      </c>
    </row>
    <row r="750" spans="1:2" x14ac:dyDescent="0.3">
      <c r="A750" s="11">
        <v>35.2999999999995</v>
      </c>
      <c r="B750" s="11">
        <f t="shared" ref="B750:B813" si="14">374200000/(A750^5*(EXP(14390/(A750*Temperature))-1))</f>
        <v>93.760678414753912</v>
      </c>
    </row>
    <row r="751" spans="1:2" x14ac:dyDescent="0.3">
      <c r="A751" s="11">
        <v>35.349999999999497</v>
      </c>
      <c r="B751" s="11">
        <f t="shared" si="14"/>
        <v>93.236020737611099</v>
      </c>
    </row>
    <row r="752" spans="1:2" x14ac:dyDescent="0.3">
      <c r="A752" s="11">
        <v>35.399999999999501</v>
      </c>
      <c r="B752" s="11">
        <f t="shared" si="14"/>
        <v>92.715027588738408</v>
      </c>
    </row>
    <row r="753" spans="1:2" x14ac:dyDescent="0.3">
      <c r="A753" s="11">
        <v>35.449999999999498</v>
      </c>
      <c r="B753" s="11">
        <f t="shared" si="14"/>
        <v>92.197668297773973</v>
      </c>
    </row>
    <row r="754" spans="1:2" x14ac:dyDescent="0.3">
      <c r="A754" s="11">
        <v>35.499999999999503</v>
      </c>
      <c r="B754" s="11">
        <f t="shared" si="14"/>
        <v>91.683912493406453</v>
      </c>
    </row>
    <row r="755" spans="1:2" x14ac:dyDescent="0.3">
      <c r="A755" s="11">
        <v>35.5499999999995</v>
      </c>
      <c r="B755" s="11">
        <f t="shared" si="14"/>
        <v>91.173730100048118</v>
      </c>
    </row>
    <row r="756" spans="1:2" x14ac:dyDescent="0.3">
      <c r="A756" s="11">
        <v>35.599999999999497</v>
      </c>
      <c r="B756" s="11">
        <f t="shared" si="14"/>
        <v>90.667091334547322</v>
      </c>
    </row>
    <row r="757" spans="1:2" x14ac:dyDescent="0.3">
      <c r="A757" s="11">
        <v>35.649999999999501</v>
      </c>
      <c r="B757" s="11">
        <f t="shared" si="14"/>
        <v>90.16396670294472</v>
      </c>
    </row>
    <row r="758" spans="1:2" x14ac:dyDescent="0.3">
      <c r="A758" s="11">
        <v>35.699999999999498</v>
      </c>
      <c r="B758" s="11">
        <f t="shared" si="14"/>
        <v>89.664326997268716</v>
      </c>
    </row>
    <row r="759" spans="1:2" x14ac:dyDescent="0.3">
      <c r="A759" s="11">
        <v>35.749999999999503</v>
      </c>
      <c r="B759" s="11">
        <f t="shared" si="14"/>
        <v>89.168143292369408</v>
      </c>
    </row>
    <row r="760" spans="1:2" x14ac:dyDescent="0.3">
      <c r="A760" s="11">
        <v>35.7999999999995</v>
      </c>
      <c r="B760" s="11">
        <f t="shared" si="14"/>
        <v>88.675386942794844</v>
      </c>
    </row>
    <row r="761" spans="1:2" x14ac:dyDescent="0.3">
      <c r="A761" s="11">
        <v>35.849999999999497</v>
      </c>
      <c r="B761" s="11">
        <f t="shared" si="14"/>
        <v>88.186029579703231</v>
      </c>
    </row>
    <row r="762" spans="1:2" x14ac:dyDescent="0.3">
      <c r="A762" s="11">
        <v>35.899999999999402</v>
      </c>
      <c r="B762" s="11">
        <f t="shared" si="14"/>
        <v>87.700043107815802</v>
      </c>
    </row>
    <row r="763" spans="1:2" x14ac:dyDescent="0.3">
      <c r="A763" s="11">
        <v>35.949999999999399</v>
      </c>
      <c r="B763" s="11">
        <f t="shared" si="14"/>
        <v>87.217399702403242</v>
      </c>
    </row>
    <row r="764" spans="1:2" x14ac:dyDescent="0.3">
      <c r="A764" s="11">
        <v>35.999999999999403</v>
      </c>
      <c r="B764" s="11">
        <f t="shared" si="14"/>
        <v>86.738071806317095</v>
      </c>
    </row>
    <row r="765" spans="1:2" x14ac:dyDescent="0.3">
      <c r="A765" s="11">
        <v>36.0499999999994</v>
      </c>
      <c r="B765" s="11">
        <f t="shared" si="14"/>
        <v>86.262032127050048</v>
      </c>
    </row>
    <row r="766" spans="1:2" x14ac:dyDescent="0.3">
      <c r="A766" s="11">
        <v>36.099999999999397</v>
      </c>
      <c r="B766" s="11">
        <f t="shared" si="14"/>
        <v>85.789253633835386</v>
      </c>
    </row>
    <row r="767" spans="1:2" x14ac:dyDescent="0.3">
      <c r="A767" s="11">
        <v>36.149999999999402</v>
      </c>
      <c r="B767" s="11">
        <f t="shared" si="14"/>
        <v>85.319709554783529</v>
      </c>
    </row>
    <row r="768" spans="1:2" x14ac:dyDescent="0.3">
      <c r="A768" s="11">
        <v>36.199999999999399</v>
      </c>
      <c r="B768" s="11">
        <f t="shared" si="14"/>
        <v>84.853373374051586</v>
      </c>
    </row>
    <row r="769" spans="1:2" x14ac:dyDescent="0.3">
      <c r="A769" s="11">
        <v>36.249999999999403</v>
      </c>
      <c r="B769" s="11">
        <f t="shared" si="14"/>
        <v>84.390218829049672</v>
      </c>
    </row>
    <row r="770" spans="1:2" x14ac:dyDescent="0.3">
      <c r="A770" s="11">
        <v>36.2999999999994</v>
      </c>
      <c r="B770" s="11">
        <f t="shared" si="14"/>
        <v>83.930219907678975</v>
      </c>
    </row>
    <row r="771" spans="1:2" x14ac:dyDescent="0.3">
      <c r="A771" s="11">
        <v>36.349999999999397</v>
      </c>
      <c r="B771" s="11">
        <f t="shared" si="14"/>
        <v>83.473350845606163</v>
      </c>
    </row>
    <row r="772" spans="1:2" x14ac:dyDescent="0.3">
      <c r="A772" s="11">
        <v>36.399999999999402</v>
      </c>
      <c r="B772" s="11">
        <f t="shared" si="14"/>
        <v>83.019586123569724</v>
      </c>
    </row>
    <row r="773" spans="1:2" x14ac:dyDescent="0.3">
      <c r="A773" s="11">
        <v>36.449999999999399</v>
      </c>
      <c r="B773" s="11">
        <f t="shared" si="14"/>
        <v>82.568900464719448</v>
      </c>
    </row>
    <row r="774" spans="1:2" x14ac:dyDescent="0.3">
      <c r="A774" s="11">
        <v>36.499999999999403</v>
      </c>
      <c r="B774" s="11">
        <f t="shared" si="14"/>
        <v>82.121268831988246</v>
      </c>
    </row>
    <row r="775" spans="1:2" x14ac:dyDescent="0.3">
      <c r="A775" s="11">
        <v>36.5499999999994</v>
      </c>
      <c r="B775" s="11">
        <f t="shared" si="14"/>
        <v>81.676666425497103</v>
      </c>
    </row>
    <row r="776" spans="1:2" x14ac:dyDescent="0.3">
      <c r="A776" s="11">
        <v>36.599999999999397</v>
      </c>
      <c r="B776" s="11">
        <f t="shared" si="14"/>
        <v>81.235068679988998</v>
      </c>
    </row>
    <row r="777" spans="1:2" x14ac:dyDescent="0.3">
      <c r="A777" s="11">
        <v>36.649999999999402</v>
      </c>
      <c r="B777" s="11">
        <f t="shared" si="14"/>
        <v>80.796451262297737</v>
      </c>
    </row>
    <row r="778" spans="1:2" x14ac:dyDescent="0.3">
      <c r="A778" s="11">
        <v>36.699999999999399</v>
      </c>
      <c r="B778" s="11">
        <f t="shared" si="14"/>
        <v>80.360790068843031</v>
      </c>
    </row>
    <row r="779" spans="1:2" x14ac:dyDescent="0.3">
      <c r="A779" s="11">
        <v>36.749999999999403</v>
      </c>
      <c r="B779" s="11">
        <f t="shared" si="14"/>
        <v>79.928061223160555</v>
      </c>
    </row>
    <row r="780" spans="1:2" x14ac:dyDescent="0.3">
      <c r="A780" s="11">
        <v>36.7999999999994</v>
      </c>
      <c r="B780" s="11">
        <f t="shared" si="14"/>
        <v>79.498241073457621</v>
      </c>
    </row>
    <row r="781" spans="1:2" x14ac:dyDescent="0.3">
      <c r="A781" s="11">
        <v>36.849999999999397</v>
      </c>
      <c r="B781" s="11">
        <f t="shared" si="14"/>
        <v>79.071306190202492</v>
      </c>
    </row>
    <row r="782" spans="1:2" x14ac:dyDescent="0.3">
      <c r="A782" s="11">
        <v>36.899999999999402</v>
      </c>
      <c r="B782" s="11">
        <f t="shared" si="14"/>
        <v>78.647233363738508</v>
      </c>
    </row>
    <row r="783" spans="1:2" x14ac:dyDescent="0.3">
      <c r="A783" s="11">
        <v>36.949999999999399</v>
      </c>
      <c r="B783" s="11">
        <f t="shared" si="14"/>
        <v>78.225999601930283</v>
      </c>
    </row>
    <row r="784" spans="1:2" x14ac:dyDescent="0.3">
      <c r="A784" s="11">
        <v>36.999999999999403</v>
      </c>
      <c r="B784" s="11">
        <f t="shared" si="14"/>
        <v>77.807582127837335</v>
      </c>
    </row>
    <row r="785" spans="1:2" x14ac:dyDescent="0.3">
      <c r="A785" s="11">
        <v>37.0499999999994</v>
      </c>
      <c r="B785" s="11">
        <f t="shared" si="14"/>
        <v>77.391958377415051</v>
      </c>
    </row>
    <row r="786" spans="1:2" x14ac:dyDescent="0.3">
      <c r="A786" s="11">
        <v>37.099999999999397</v>
      </c>
      <c r="B786" s="11">
        <f t="shared" si="14"/>
        <v>76.979105997242286</v>
      </c>
    </row>
    <row r="787" spans="1:2" x14ac:dyDescent="0.3">
      <c r="A787" s="11">
        <v>37.149999999999402</v>
      </c>
      <c r="B787" s="11">
        <f t="shared" si="14"/>
        <v>76.569002842280298</v>
      </c>
    </row>
    <row r="788" spans="1:2" x14ac:dyDescent="0.3">
      <c r="A788" s="11">
        <v>37.199999999999399</v>
      </c>
      <c r="B788" s="11">
        <f t="shared" si="14"/>
        <v>76.161626973652972</v>
      </c>
    </row>
    <row r="789" spans="1:2" x14ac:dyDescent="0.3">
      <c r="A789" s="11">
        <v>37.249999999999403</v>
      </c>
      <c r="B789" s="11">
        <f t="shared" si="14"/>
        <v>75.756956656457845</v>
      </c>
    </row>
    <row r="790" spans="1:2" x14ac:dyDescent="0.3">
      <c r="A790" s="11">
        <v>37.2999999999994</v>
      </c>
      <c r="B790" s="11">
        <f t="shared" si="14"/>
        <v>75.354970357601616</v>
      </c>
    </row>
    <row r="791" spans="1:2" x14ac:dyDescent="0.3">
      <c r="A791" s="11">
        <v>37.349999999999397</v>
      </c>
      <c r="B791" s="11">
        <f t="shared" si="14"/>
        <v>74.955646743660566</v>
      </c>
    </row>
    <row r="792" spans="1:2" x14ac:dyDescent="0.3">
      <c r="A792" s="11">
        <v>37.399999999999402</v>
      </c>
      <c r="B792" s="11">
        <f t="shared" si="14"/>
        <v>74.558964678768916</v>
      </c>
    </row>
    <row r="793" spans="1:2" x14ac:dyDescent="0.3">
      <c r="A793" s="11">
        <v>37.449999999999399</v>
      </c>
      <c r="B793" s="11">
        <f t="shared" si="14"/>
        <v>74.164903222529531</v>
      </c>
    </row>
    <row r="794" spans="1:2" x14ac:dyDescent="0.3">
      <c r="A794" s="11">
        <v>37.499999999999403</v>
      </c>
      <c r="B794" s="11">
        <f t="shared" si="14"/>
        <v>73.773441627951556</v>
      </c>
    </row>
    <row r="795" spans="1:2" x14ac:dyDescent="0.3">
      <c r="A795" s="11">
        <v>37.5499999999994</v>
      </c>
      <c r="B795" s="11">
        <f t="shared" si="14"/>
        <v>73.384559339411382</v>
      </c>
    </row>
    <row r="796" spans="1:2" x14ac:dyDescent="0.3">
      <c r="A796" s="11">
        <v>37.599999999999397</v>
      </c>
      <c r="B796" s="11">
        <f t="shared" si="14"/>
        <v>72.99823599063771</v>
      </c>
    </row>
    <row r="797" spans="1:2" x14ac:dyDescent="0.3">
      <c r="A797" s="11">
        <v>37.649999999999402</v>
      </c>
      <c r="B797" s="11">
        <f t="shared" si="14"/>
        <v>72.614451402721855</v>
      </c>
    </row>
    <row r="798" spans="1:2" x14ac:dyDescent="0.3">
      <c r="A798" s="11">
        <v>37.699999999999399</v>
      </c>
      <c r="B798" s="11">
        <f t="shared" si="14"/>
        <v>72.233185582149446</v>
      </c>
    </row>
    <row r="799" spans="1:2" x14ac:dyDescent="0.3">
      <c r="A799" s="11">
        <v>37.749999999999403</v>
      </c>
      <c r="B799" s="11">
        <f t="shared" si="14"/>
        <v>71.854418718856422</v>
      </c>
    </row>
    <row r="800" spans="1:2" x14ac:dyDescent="0.3">
      <c r="A800" s="11">
        <v>37.7999999999994</v>
      </c>
      <c r="B800" s="11">
        <f t="shared" si="14"/>
        <v>71.47813118430885</v>
      </c>
    </row>
    <row r="801" spans="1:2" x14ac:dyDescent="0.3">
      <c r="A801" s="11">
        <v>37.849999999999397</v>
      </c>
      <c r="B801" s="11">
        <f t="shared" si="14"/>
        <v>71.104303529603342</v>
      </c>
    </row>
    <row r="802" spans="1:2" x14ac:dyDescent="0.3">
      <c r="A802" s="11">
        <v>37.899999999999402</v>
      </c>
      <c r="B802" s="11">
        <f t="shared" si="14"/>
        <v>70.732916483591382</v>
      </c>
    </row>
    <row r="803" spans="1:2" x14ac:dyDescent="0.3">
      <c r="A803" s="11">
        <v>37.949999999999399</v>
      </c>
      <c r="B803" s="11">
        <f t="shared" si="14"/>
        <v>70.363950951025146</v>
      </c>
    </row>
    <row r="804" spans="1:2" x14ac:dyDescent="0.3">
      <c r="A804" s="11">
        <v>37.999999999999403</v>
      </c>
      <c r="B804" s="11">
        <f t="shared" si="14"/>
        <v>69.997388010724578</v>
      </c>
    </row>
    <row r="805" spans="1:2" x14ac:dyDescent="0.3">
      <c r="A805" s="11">
        <v>38.0499999999994</v>
      </c>
      <c r="B805" s="11">
        <f t="shared" si="14"/>
        <v>69.633208913767177</v>
      </c>
    </row>
    <row r="806" spans="1:2" x14ac:dyDescent="0.3">
      <c r="A806" s="11">
        <v>38.099999999999397</v>
      </c>
      <c r="B806" s="11">
        <f t="shared" si="14"/>
        <v>69.271395081696653</v>
      </c>
    </row>
    <row r="807" spans="1:2" x14ac:dyDescent="0.3">
      <c r="A807" s="11">
        <v>38.149999999999402</v>
      </c>
      <c r="B807" s="11">
        <f t="shared" si="14"/>
        <v>68.911928104756157</v>
      </c>
    </row>
    <row r="808" spans="1:2" x14ac:dyDescent="0.3">
      <c r="A808" s="11">
        <v>38.199999999999399</v>
      </c>
      <c r="B808" s="11">
        <f t="shared" si="14"/>
        <v>68.554789740137792</v>
      </c>
    </row>
    <row r="809" spans="1:2" x14ac:dyDescent="0.3">
      <c r="A809" s="11">
        <v>38.249999999999403</v>
      </c>
      <c r="B809" s="11">
        <f t="shared" si="14"/>
        <v>68.199961910256008</v>
      </c>
    </row>
    <row r="810" spans="1:2" x14ac:dyDescent="0.3">
      <c r="A810" s="11">
        <v>38.2999999999994</v>
      </c>
      <c r="B810" s="11">
        <f t="shared" si="14"/>
        <v>67.847426701039126</v>
      </c>
    </row>
    <row r="811" spans="1:2" x14ac:dyDescent="0.3">
      <c r="A811" s="11">
        <v>38.349999999999397</v>
      </c>
      <c r="B811" s="11">
        <f t="shared" si="14"/>
        <v>67.497166360241238</v>
      </c>
    </row>
    <row r="812" spans="1:2" x14ac:dyDescent="0.3">
      <c r="A812" s="11">
        <v>38.399999999999402</v>
      </c>
      <c r="B812" s="11">
        <f t="shared" si="14"/>
        <v>67.14916329577413</v>
      </c>
    </row>
    <row r="813" spans="1:2" x14ac:dyDescent="0.3">
      <c r="A813" s="11">
        <v>38.449999999999399</v>
      </c>
      <c r="B813" s="11">
        <f t="shared" si="14"/>
        <v>66.80340007405789</v>
      </c>
    </row>
    <row r="814" spans="1:2" x14ac:dyDescent="0.3">
      <c r="A814" s="11">
        <v>38.499999999999403</v>
      </c>
      <c r="B814" s="11">
        <f t="shared" ref="B814:B877" si="15">374200000/(A814^5*(EXP(14390/(A814*Temperature))-1))</f>
        <v>66.459859418390536</v>
      </c>
    </row>
    <row r="815" spans="1:2" x14ac:dyDescent="0.3">
      <c r="A815" s="11">
        <v>38.5499999999994</v>
      </c>
      <c r="B815" s="11">
        <f t="shared" si="15"/>
        <v>66.11852420733797</v>
      </c>
    </row>
    <row r="816" spans="1:2" x14ac:dyDescent="0.3">
      <c r="A816" s="11">
        <v>38.599999999999397</v>
      </c>
      <c r="B816" s="11">
        <f t="shared" si="15"/>
        <v>65.779377473139192</v>
      </c>
    </row>
    <row r="817" spans="1:2" x14ac:dyDescent="0.3">
      <c r="A817" s="11">
        <v>38.649999999999402</v>
      </c>
      <c r="B817" s="11">
        <f t="shared" si="15"/>
        <v>65.442402400134341</v>
      </c>
    </row>
    <row r="818" spans="1:2" x14ac:dyDescent="0.3">
      <c r="A818" s="11">
        <v>38.699999999999399</v>
      </c>
      <c r="B818" s="11">
        <f t="shared" si="15"/>
        <v>65.107582323207225</v>
      </c>
    </row>
    <row r="819" spans="1:2" x14ac:dyDescent="0.3">
      <c r="A819" s="11">
        <v>38.749999999999403</v>
      </c>
      <c r="B819" s="11">
        <f t="shared" si="15"/>
        <v>64.774900726246671</v>
      </c>
    </row>
    <row r="820" spans="1:2" x14ac:dyDescent="0.3">
      <c r="A820" s="11">
        <v>38.7999999999994</v>
      </c>
      <c r="B820" s="11">
        <f t="shared" si="15"/>
        <v>64.444341240627296</v>
      </c>
    </row>
    <row r="821" spans="1:2" x14ac:dyDescent="0.3">
      <c r="A821" s="11">
        <v>38.849999999999397</v>
      </c>
      <c r="B821" s="11">
        <f t="shared" si="15"/>
        <v>64.115887643705221</v>
      </c>
    </row>
    <row r="822" spans="1:2" x14ac:dyDescent="0.3">
      <c r="A822" s="11">
        <v>38.899999999999402</v>
      </c>
      <c r="B822" s="11">
        <f t="shared" si="15"/>
        <v>63.789523857332505</v>
      </c>
    </row>
    <row r="823" spans="1:2" x14ac:dyDescent="0.3">
      <c r="A823" s="11">
        <v>38.949999999999399</v>
      </c>
      <c r="B823" s="11">
        <f t="shared" si="15"/>
        <v>63.465233946387876</v>
      </c>
    </row>
    <row r="824" spans="1:2" x14ac:dyDescent="0.3">
      <c r="A824" s="11">
        <v>38.999999999999403</v>
      </c>
      <c r="B824" s="11">
        <f t="shared" si="15"/>
        <v>63.143002117324983</v>
      </c>
    </row>
    <row r="825" spans="1:2" x14ac:dyDescent="0.3">
      <c r="A825" s="11">
        <v>39.0499999999994</v>
      </c>
      <c r="B825" s="11">
        <f t="shared" si="15"/>
        <v>62.822812716736202</v>
      </c>
    </row>
    <row r="826" spans="1:2" x14ac:dyDescent="0.3">
      <c r="A826" s="11">
        <v>39.099999999999397</v>
      </c>
      <c r="B826" s="11">
        <f t="shared" si="15"/>
        <v>62.504650229934306</v>
      </c>
    </row>
    <row r="827" spans="1:2" x14ac:dyDescent="0.3">
      <c r="A827" s="11">
        <v>39.149999999999402</v>
      </c>
      <c r="B827" s="11">
        <f t="shared" si="15"/>
        <v>62.188499279547919</v>
      </c>
    </row>
    <row r="828" spans="1:2" x14ac:dyDescent="0.3">
      <c r="A828" s="11">
        <v>39.199999999999399</v>
      </c>
      <c r="B828" s="11">
        <f t="shared" si="15"/>
        <v>61.874344624135801</v>
      </c>
    </row>
    <row r="829" spans="1:2" x14ac:dyDescent="0.3">
      <c r="A829" s="11">
        <v>39.249999999999403</v>
      </c>
      <c r="B829" s="11">
        <f t="shared" si="15"/>
        <v>61.562171156814287</v>
      </c>
    </row>
    <row r="830" spans="1:2" x14ac:dyDescent="0.3">
      <c r="A830" s="11">
        <v>39.2999999999994</v>
      </c>
      <c r="B830" s="11">
        <f t="shared" si="15"/>
        <v>61.251963903902073</v>
      </c>
    </row>
    <row r="831" spans="1:2" x14ac:dyDescent="0.3">
      <c r="A831" s="11">
        <v>39.349999999999397</v>
      </c>
      <c r="B831" s="11">
        <f t="shared" si="15"/>
        <v>60.943708023579383</v>
      </c>
    </row>
    <row r="832" spans="1:2" x14ac:dyDescent="0.3">
      <c r="A832" s="11">
        <v>39.399999999999402</v>
      </c>
      <c r="B832" s="11">
        <f t="shared" si="15"/>
        <v>60.637388804562534</v>
      </c>
    </row>
    <row r="833" spans="1:2" x14ac:dyDescent="0.3">
      <c r="A833" s="11">
        <v>39.449999999999399</v>
      </c>
      <c r="B833" s="11">
        <f t="shared" si="15"/>
        <v>60.332991664793916</v>
      </c>
    </row>
    <row r="834" spans="1:2" x14ac:dyDescent="0.3">
      <c r="A834" s="11">
        <v>39.499999999999403</v>
      </c>
      <c r="B834" s="11">
        <f t="shared" si="15"/>
        <v>60.030502150145651</v>
      </c>
    </row>
    <row r="835" spans="1:2" x14ac:dyDescent="0.3">
      <c r="A835" s="11">
        <v>39.5499999999994</v>
      </c>
      <c r="B835" s="11">
        <f t="shared" si="15"/>
        <v>59.729905933139683</v>
      </c>
    </row>
    <row r="836" spans="1:2" x14ac:dyDescent="0.3">
      <c r="A836" s="11">
        <v>39.599999999999397</v>
      </c>
      <c r="B836" s="11">
        <f t="shared" si="15"/>
        <v>59.431188811680073</v>
      </c>
    </row>
    <row r="837" spans="1:2" x14ac:dyDescent="0.3">
      <c r="A837" s="11">
        <v>39.649999999999402</v>
      </c>
      <c r="B837" s="11">
        <f t="shared" si="15"/>
        <v>59.134336707800529</v>
      </c>
    </row>
    <row r="838" spans="1:2" x14ac:dyDescent="0.3">
      <c r="A838" s="11">
        <v>39.699999999999399</v>
      </c>
      <c r="B838" s="11">
        <f t="shared" si="15"/>
        <v>58.839335666427417</v>
      </c>
    </row>
    <row r="839" spans="1:2" x14ac:dyDescent="0.3">
      <c r="A839" s="11">
        <v>39.749999999999403</v>
      </c>
      <c r="B839" s="11">
        <f t="shared" si="15"/>
        <v>58.546171854153691</v>
      </c>
    </row>
    <row r="840" spans="1:2" x14ac:dyDescent="0.3">
      <c r="A840" s="11">
        <v>39.7999999999994</v>
      </c>
      <c r="B840" s="11">
        <f t="shared" si="15"/>
        <v>58.254831558029224</v>
      </c>
    </row>
    <row r="841" spans="1:2" x14ac:dyDescent="0.3">
      <c r="A841" s="11">
        <v>39.849999999999397</v>
      </c>
      <c r="B841" s="11">
        <f t="shared" si="15"/>
        <v>57.965301184363582</v>
      </c>
    </row>
    <row r="842" spans="1:2" x14ac:dyDescent="0.3">
      <c r="A842" s="11">
        <v>39.899999999999402</v>
      </c>
      <c r="B842" s="11">
        <f t="shared" si="15"/>
        <v>57.677567257541085</v>
      </c>
    </row>
    <row r="843" spans="1:2" x14ac:dyDescent="0.3">
      <c r="A843" s="11">
        <v>39.949999999999399</v>
      </c>
      <c r="B843" s="11">
        <f t="shared" si="15"/>
        <v>57.391616418851321</v>
      </c>
    </row>
    <row r="844" spans="1:2" x14ac:dyDescent="0.3">
      <c r="A844" s="11">
        <v>39.999999999999403</v>
      </c>
      <c r="B844" s="11">
        <f t="shared" si="15"/>
        <v>57.107435425331317</v>
      </c>
    </row>
    <row r="845" spans="1:2" x14ac:dyDescent="0.3">
      <c r="A845" s="11">
        <v>40.0499999999994</v>
      </c>
      <c r="B845" s="11">
        <f t="shared" si="15"/>
        <v>56.825011148620483</v>
      </c>
    </row>
    <row r="846" spans="1:2" x14ac:dyDescent="0.3">
      <c r="A846" s="11">
        <v>40.099999999999397</v>
      </c>
      <c r="B846" s="11">
        <f t="shared" si="15"/>
        <v>56.544330573828802</v>
      </c>
    </row>
    <row r="847" spans="1:2" x14ac:dyDescent="0.3">
      <c r="A847" s="11">
        <v>40.149999999999402</v>
      </c>
      <c r="B847" s="11">
        <f t="shared" si="15"/>
        <v>56.265380798417212</v>
      </c>
    </row>
    <row r="848" spans="1:2" x14ac:dyDescent="0.3">
      <c r="A848" s="11">
        <v>40.199999999999399</v>
      </c>
      <c r="B848" s="11">
        <f t="shared" si="15"/>
        <v>55.988149031091339</v>
      </c>
    </row>
    <row r="849" spans="1:2" x14ac:dyDescent="0.3">
      <c r="A849" s="11">
        <v>40.249999999999403</v>
      </c>
      <c r="B849" s="11">
        <f t="shared" si="15"/>
        <v>55.71262259070528</v>
      </c>
    </row>
    <row r="850" spans="1:2" x14ac:dyDescent="0.3">
      <c r="A850" s="11">
        <v>40.2999999999994</v>
      </c>
      <c r="B850" s="11">
        <f t="shared" si="15"/>
        <v>55.438788905180523</v>
      </c>
    </row>
    <row r="851" spans="1:2" x14ac:dyDescent="0.3">
      <c r="A851" s="11">
        <v>40.349999999999397</v>
      </c>
      <c r="B851" s="11">
        <f t="shared" si="15"/>
        <v>55.166635510434126</v>
      </c>
    </row>
    <row r="852" spans="1:2" x14ac:dyDescent="0.3">
      <c r="A852" s="11">
        <v>40.399999999999402</v>
      </c>
      <c r="B852" s="11">
        <f t="shared" si="15"/>
        <v>54.896150049320198</v>
      </c>
    </row>
    <row r="853" spans="1:2" x14ac:dyDescent="0.3">
      <c r="A853" s="11">
        <v>40.449999999999399</v>
      </c>
      <c r="B853" s="11">
        <f t="shared" si="15"/>
        <v>54.627320270582928</v>
      </c>
    </row>
    <row r="854" spans="1:2" x14ac:dyDescent="0.3">
      <c r="A854" s="11">
        <v>40.499999999999297</v>
      </c>
      <c r="B854" s="11">
        <f t="shared" si="15"/>
        <v>54.360134027821026</v>
      </c>
    </row>
    <row r="855" spans="1:2" x14ac:dyDescent="0.3">
      <c r="A855" s="11">
        <v>40.549999999999301</v>
      </c>
      <c r="B855" s="11">
        <f t="shared" si="15"/>
        <v>54.094579278461211</v>
      </c>
    </row>
    <row r="856" spans="1:2" x14ac:dyDescent="0.3">
      <c r="A856" s="11">
        <v>40.599999999999397</v>
      </c>
      <c r="B856" s="11">
        <f t="shared" si="15"/>
        <v>53.830644082748357</v>
      </c>
    </row>
    <row r="857" spans="1:2" x14ac:dyDescent="0.3">
      <c r="A857" s="11">
        <v>40.649999999999302</v>
      </c>
      <c r="B857" s="11">
        <f t="shared" si="15"/>
        <v>53.568316602742982</v>
      </c>
    </row>
    <row r="858" spans="1:2" x14ac:dyDescent="0.3">
      <c r="A858" s="11">
        <v>40.699999999999299</v>
      </c>
      <c r="B858" s="11">
        <f t="shared" si="15"/>
        <v>53.307585101326715</v>
      </c>
    </row>
    <row r="859" spans="1:2" x14ac:dyDescent="0.3">
      <c r="A859" s="11">
        <v>40.749999999999297</v>
      </c>
      <c r="B859" s="11">
        <f t="shared" si="15"/>
        <v>53.048437941226993</v>
      </c>
    </row>
    <row r="860" spans="1:2" x14ac:dyDescent="0.3">
      <c r="A860" s="11">
        <v>40.799999999999301</v>
      </c>
      <c r="B860" s="11">
        <f t="shared" si="15"/>
        <v>52.790863584044011</v>
      </c>
    </row>
    <row r="861" spans="1:2" x14ac:dyDescent="0.3">
      <c r="A861" s="11">
        <v>40.849999999999298</v>
      </c>
      <c r="B861" s="11">
        <f t="shared" si="15"/>
        <v>52.534850589293981</v>
      </c>
    </row>
    <row r="862" spans="1:2" x14ac:dyDescent="0.3">
      <c r="A862" s="11">
        <v>40.899999999999302</v>
      </c>
      <c r="B862" s="11">
        <f t="shared" si="15"/>
        <v>52.280387613459574</v>
      </c>
    </row>
    <row r="863" spans="1:2" x14ac:dyDescent="0.3">
      <c r="A863" s="11">
        <v>40.949999999999299</v>
      </c>
      <c r="B863" s="11">
        <f t="shared" si="15"/>
        <v>52.027463409051762</v>
      </c>
    </row>
    <row r="864" spans="1:2" x14ac:dyDescent="0.3">
      <c r="A864" s="11">
        <v>40.999999999999297</v>
      </c>
      <c r="B864" s="11">
        <f t="shared" si="15"/>
        <v>51.776066823682861</v>
      </c>
    </row>
    <row r="865" spans="1:2" x14ac:dyDescent="0.3">
      <c r="A865" s="11">
        <v>41.049999999999301</v>
      </c>
      <c r="B865" s="11">
        <f t="shared" si="15"/>
        <v>51.52618679914751</v>
      </c>
    </row>
    <row r="866" spans="1:2" x14ac:dyDescent="0.3">
      <c r="A866" s="11">
        <v>41.099999999999298</v>
      </c>
      <c r="B866" s="11">
        <f t="shared" si="15"/>
        <v>51.277812370515832</v>
      </c>
    </row>
    <row r="867" spans="1:2" x14ac:dyDescent="0.3">
      <c r="A867" s="11">
        <v>41.149999999999302</v>
      </c>
      <c r="B867" s="11">
        <f t="shared" si="15"/>
        <v>51.030932665234708</v>
      </c>
    </row>
    <row r="868" spans="1:2" x14ac:dyDescent="0.3">
      <c r="A868" s="11">
        <v>41.199999999999299</v>
      </c>
      <c r="B868" s="11">
        <f t="shared" si="15"/>
        <v>50.785536902239336</v>
      </c>
    </row>
    <row r="869" spans="1:2" x14ac:dyDescent="0.3">
      <c r="A869" s="11">
        <v>41.249999999999297</v>
      </c>
      <c r="B869" s="11">
        <f t="shared" si="15"/>
        <v>50.54161439107552</v>
      </c>
    </row>
    <row r="870" spans="1:2" x14ac:dyDescent="0.3">
      <c r="A870" s="11">
        <v>41.299999999999301</v>
      </c>
      <c r="B870" s="11">
        <f t="shared" si="15"/>
        <v>50.299154531028591</v>
      </c>
    </row>
    <row r="871" spans="1:2" x14ac:dyDescent="0.3">
      <c r="A871" s="11">
        <v>41.349999999999298</v>
      </c>
      <c r="B871" s="11">
        <f t="shared" si="15"/>
        <v>50.058146810265868</v>
      </c>
    </row>
    <row r="872" spans="1:2" x14ac:dyDescent="0.3">
      <c r="A872" s="11">
        <v>41.399999999999302</v>
      </c>
      <c r="B872" s="11">
        <f t="shared" si="15"/>
        <v>49.81858080498349</v>
      </c>
    </row>
    <row r="873" spans="1:2" x14ac:dyDescent="0.3">
      <c r="A873" s="11">
        <v>41.449999999999299</v>
      </c>
      <c r="B873" s="11">
        <f t="shared" si="15"/>
        <v>49.58044617856725</v>
      </c>
    </row>
    <row r="874" spans="1:2" x14ac:dyDescent="0.3">
      <c r="A874" s="11">
        <v>41.499999999999297</v>
      </c>
      <c r="B874" s="11">
        <f t="shared" si="15"/>
        <v>49.343732680758627</v>
      </c>
    </row>
    <row r="875" spans="1:2" x14ac:dyDescent="0.3">
      <c r="A875" s="11">
        <v>41.549999999999301</v>
      </c>
      <c r="B875" s="11">
        <f t="shared" si="15"/>
        <v>49.108430146831758</v>
      </c>
    </row>
    <row r="876" spans="1:2" x14ac:dyDescent="0.3">
      <c r="A876" s="11">
        <v>41.599999999999298</v>
      </c>
      <c r="B876" s="11">
        <f t="shared" si="15"/>
        <v>48.874528496778886</v>
      </c>
    </row>
    <row r="877" spans="1:2" x14ac:dyDescent="0.3">
      <c r="A877" s="11">
        <v>41.649999999999302</v>
      </c>
      <c r="B877" s="11">
        <f t="shared" si="15"/>
        <v>48.642017734503987</v>
      </c>
    </row>
    <row r="878" spans="1:2" x14ac:dyDescent="0.3">
      <c r="A878" s="11">
        <v>41.699999999999299</v>
      </c>
      <c r="B878" s="11">
        <f t="shared" ref="B878:B941" si="16">374200000/(A878^5*(EXP(14390/(A878*Temperature))-1))</f>
        <v>48.410887947026154</v>
      </c>
    </row>
    <row r="879" spans="1:2" x14ac:dyDescent="0.3">
      <c r="A879" s="11">
        <v>41.749999999999297</v>
      </c>
      <c r="B879" s="11">
        <f t="shared" si="16"/>
        <v>48.181129303689815</v>
      </c>
    </row>
    <row r="880" spans="1:2" x14ac:dyDescent="0.3">
      <c r="A880" s="11">
        <v>41.799999999999301</v>
      </c>
      <c r="B880" s="11">
        <f t="shared" si="16"/>
        <v>47.952732055385162</v>
      </c>
    </row>
    <row r="881" spans="1:2" x14ac:dyDescent="0.3">
      <c r="A881" s="11">
        <v>41.849999999999298</v>
      </c>
      <c r="B881" s="11">
        <f t="shared" si="16"/>
        <v>47.72568653377526</v>
      </c>
    </row>
    <row r="882" spans="1:2" x14ac:dyDescent="0.3">
      <c r="A882" s="11">
        <v>41.899999999999302</v>
      </c>
      <c r="B882" s="11">
        <f t="shared" si="16"/>
        <v>47.499983150532692</v>
      </c>
    </row>
    <row r="883" spans="1:2" x14ac:dyDescent="0.3">
      <c r="A883" s="11">
        <v>41.949999999999299</v>
      </c>
      <c r="B883" s="11">
        <f t="shared" si="16"/>
        <v>47.275612396583774</v>
      </c>
    </row>
    <row r="884" spans="1:2" x14ac:dyDescent="0.3">
      <c r="A884" s="11">
        <v>41.999999999999297</v>
      </c>
      <c r="B884" s="11">
        <f t="shared" si="16"/>
        <v>47.05256484136055</v>
      </c>
    </row>
    <row r="885" spans="1:2" x14ac:dyDescent="0.3">
      <c r="A885" s="11">
        <v>42.049999999999301</v>
      </c>
      <c r="B885" s="11">
        <f t="shared" si="16"/>
        <v>46.830831132061107</v>
      </c>
    </row>
    <row r="886" spans="1:2" x14ac:dyDescent="0.3">
      <c r="A886" s="11">
        <v>42.099999999999298</v>
      </c>
      <c r="B886" s="11">
        <f t="shared" si="16"/>
        <v>46.610401992917026</v>
      </c>
    </row>
    <row r="887" spans="1:2" x14ac:dyDescent="0.3">
      <c r="A887" s="11">
        <v>42.149999999999302</v>
      </c>
      <c r="B887" s="11">
        <f t="shared" si="16"/>
        <v>46.391268224470437</v>
      </c>
    </row>
    <row r="888" spans="1:2" x14ac:dyDescent="0.3">
      <c r="A888" s="11">
        <v>42.199999999999299</v>
      </c>
      <c r="B888" s="11">
        <f t="shared" si="16"/>
        <v>46.173420702855879</v>
      </c>
    </row>
    <row r="889" spans="1:2" x14ac:dyDescent="0.3">
      <c r="A889" s="11">
        <v>42.249999999999297</v>
      </c>
      <c r="B889" s="11">
        <f t="shared" si="16"/>
        <v>45.956850379092614</v>
      </c>
    </row>
    <row r="890" spans="1:2" x14ac:dyDescent="0.3">
      <c r="A890" s="11">
        <v>42.299999999999301</v>
      </c>
      <c r="B890" s="11">
        <f t="shared" si="16"/>
        <v>45.741548278381664</v>
      </c>
    </row>
    <row r="891" spans="1:2" x14ac:dyDescent="0.3">
      <c r="A891" s="11">
        <v>42.349999999999298</v>
      </c>
      <c r="B891" s="11">
        <f t="shared" si="16"/>
        <v>45.527505499412854</v>
      </c>
    </row>
    <row r="892" spans="1:2" x14ac:dyDescent="0.3">
      <c r="A892" s="11">
        <v>42.399999999999302</v>
      </c>
      <c r="B892" s="11">
        <f t="shared" si="16"/>
        <v>45.314713213677457</v>
      </c>
    </row>
    <row r="893" spans="1:2" x14ac:dyDescent="0.3">
      <c r="A893" s="11">
        <v>42.449999999999299</v>
      </c>
      <c r="B893" s="11">
        <f t="shared" si="16"/>
        <v>45.103162664788584</v>
      </c>
    </row>
    <row r="894" spans="1:2" x14ac:dyDescent="0.3">
      <c r="A894" s="11">
        <v>42.499999999999297</v>
      </c>
      <c r="B894" s="11">
        <f t="shared" si="16"/>
        <v>44.892845167808005</v>
      </c>
    </row>
    <row r="895" spans="1:2" x14ac:dyDescent="0.3">
      <c r="A895" s="11">
        <v>42.549999999999301</v>
      </c>
      <c r="B895" s="11">
        <f t="shared" si="16"/>
        <v>44.683752108581764</v>
      </c>
    </row>
    <row r="896" spans="1:2" x14ac:dyDescent="0.3">
      <c r="A896" s="11">
        <v>42.599999999999298</v>
      </c>
      <c r="B896" s="11">
        <f t="shared" si="16"/>
        <v>44.475874943080932</v>
      </c>
    </row>
    <row r="897" spans="1:2" x14ac:dyDescent="0.3">
      <c r="A897" s="11">
        <v>42.649999999999302</v>
      </c>
      <c r="B897" s="11">
        <f t="shared" si="16"/>
        <v>44.26920519675015</v>
      </c>
    </row>
    <row r="898" spans="1:2" x14ac:dyDescent="0.3">
      <c r="A898" s="11">
        <v>42.699999999999299</v>
      </c>
      <c r="B898" s="11">
        <f t="shared" si="16"/>
        <v>44.063734463862922</v>
      </c>
    </row>
    <row r="899" spans="1:2" x14ac:dyDescent="0.3">
      <c r="A899" s="11">
        <v>42.749999999999297</v>
      </c>
      <c r="B899" s="11">
        <f t="shared" si="16"/>
        <v>43.859454406882833</v>
      </c>
    </row>
    <row r="900" spans="1:2" x14ac:dyDescent="0.3">
      <c r="A900" s="11">
        <v>42.799999999999301</v>
      </c>
      <c r="B900" s="11">
        <f t="shared" si="16"/>
        <v>43.656356755833144</v>
      </c>
    </row>
    <row r="901" spans="1:2" x14ac:dyDescent="0.3">
      <c r="A901" s="11">
        <v>42.849999999999298</v>
      </c>
      <c r="B901" s="11">
        <f t="shared" si="16"/>
        <v>43.454433307671287</v>
      </c>
    </row>
    <row r="902" spans="1:2" x14ac:dyDescent="0.3">
      <c r="A902" s="11">
        <v>42.899999999999302</v>
      </c>
      <c r="B902" s="11">
        <f t="shared" si="16"/>
        <v>43.253675925669953</v>
      </c>
    </row>
    <row r="903" spans="1:2" x14ac:dyDescent="0.3">
      <c r="A903" s="11">
        <v>42.949999999999299</v>
      </c>
      <c r="B903" s="11">
        <f t="shared" si="16"/>
        <v>43.054076538806626</v>
      </c>
    </row>
    <row r="904" spans="1:2" x14ac:dyDescent="0.3">
      <c r="A904" s="11">
        <v>42.999999999999297</v>
      </c>
      <c r="B904" s="11">
        <f t="shared" si="16"/>
        <v>42.855627141155921</v>
      </c>
    </row>
    <row r="905" spans="1:2" x14ac:dyDescent="0.3">
      <c r="A905" s="11">
        <v>43.049999999999301</v>
      </c>
      <c r="B905" s="11">
        <f t="shared" si="16"/>
        <v>42.65831979129225</v>
      </c>
    </row>
    <row r="906" spans="1:2" x14ac:dyDescent="0.3">
      <c r="A906" s="11">
        <v>43.099999999999298</v>
      </c>
      <c r="B906" s="11">
        <f t="shared" si="16"/>
        <v>42.462146611695218</v>
      </c>
    </row>
    <row r="907" spans="1:2" x14ac:dyDescent="0.3">
      <c r="A907" s="11">
        <v>43.149999999999302</v>
      </c>
      <c r="B907" s="11">
        <f t="shared" si="16"/>
        <v>42.267099788163044</v>
      </c>
    </row>
    <row r="908" spans="1:2" x14ac:dyDescent="0.3">
      <c r="A908" s="11">
        <v>43.199999999999299</v>
      </c>
      <c r="B908" s="11">
        <f t="shared" si="16"/>
        <v>42.073171569231917</v>
      </c>
    </row>
    <row r="909" spans="1:2" x14ac:dyDescent="0.3">
      <c r="A909" s="11">
        <v>43.249999999999297</v>
      </c>
      <c r="B909" s="11">
        <f t="shared" si="16"/>
        <v>41.880354265600353</v>
      </c>
    </row>
    <row r="910" spans="1:2" x14ac:dyDescent="0.3">
      <c r="A910" s="11">
        <v>43.299999999999301</v>
      </c>
      <c r="B910" s="11">
        <f t="shared" si="16"/>
        <v>41.688640249560791</v>
      </c>
    </row>
    <row r="911" spans="1:2" x14ac:dyDescent="0.3">
      <c r="A911" s="11">
        <v>43.349999999999298</v>
      </c>
      <c r="B911" s="11">
        <f t="shared" si="16"/>
        <v>41.498021954435906</v>
      </c>
    </row>
    <row r="912" spans="1:2" x14ac:dyDescent="0.3">
      <c r="A912" s="11">
        <v>43.399999999999302</v>
      </c>
      <c r="B912" s="11">
        <f t="shared" si="16"/>
        <v>41.308491874021435</v>
      </c>
    </row>
    <row r="913" spans="1:2" x14ac:dyDescent="0.3">
      <c r="A913" s="11">
        <v>43.449999999999299</v>
      </c>
      <c r="B913" s="11">
        <f t="shared" si="16"/>
        <v>41.120042562034754</v>
      </c>
    </row>
    <row r="914" spans="1:2" x14ac:dyDescent="0.3">
      <c r="A914" s="11">
        <v>43.499999999999297</v>
      </c>
      <c r="B914" s="11">
        <f t="shared" si="16"/>
        <v>40.932666631567777</v>
      </c>
    </row>
    <row r="915" spans="1:2" x14ac:dyDescent="0.3">
      <c r="A915" s="11">
        <v>43.549999999999301</v>
      </c>
      <c r="B915" s="11">
        <f t="shared" si="16"/>
        <v>40.746356754547804</v>
      </c>
    </row>
    <row r="916" spans="1:2" x14ac:dyDescent="0.3">
      <c r="A916" s="11">
        <v>43.599999999999298</v>
      </c>
      <c r="B916" s="11">
        <f t="shared" si="16"/>
        <v>40.561105661201722</v>
      </c>
    </row>
    <row r="917" spans="1:2" x14ac:dyDescent="0.3">
      <c r="A917" s="11">
        <v>43.649999999999302</v>
      </c>
      <c r="B917" s="11">
        <f t="shared" si="16"/>
        <v>40.376906139527016</v>
      </c>
    </row>
    <row r="918" spans="1:2" x14ac:dyDescent="0.3">
      <c r="A918" s="11">
        <v>43.699999999999299</v>
      </c>
      <c r="B918" s="11">
        <f t="shared" si="16"/>
        <v>40.193751034767466</v>
      </c>
    </row>
    <row r="919" spans="1:2" x14ac:dyDescent="0.3">
      <c r="A919" s="11">
        <v>43.749999999999297</v>
      </c>
      <c r="B919" s="11">
        <f t="shared" si="16"/>
        <v>40.011633248894384</v>
      </c>
    </row>
    <row r="920" spans="1:2" x14ac:dyDescent="0.3">
      <c r="A920" s="11">
        <v>43.799999999999301</v>
      </c>
      <c r="B920" s="11">
        <f t="shared" si="16"/>
        <v>39.830545740093548</v>
      </c>
    </row>
    <row r="921" spans="1:2" x14ac:dyDescent="0.3">
      <c r="A921" s="11">
        <v>43.849999999999298</v>
      </c>
      <c r="B921" s="11">
        <f t="shared" si="16"/>
        <v>39.650481522256399</v>
      </c>
    </row>
    <row r="922" spans="1:2" x14ac:dyDescent="0.3">
      <c r="A922" s="11">
        <v>43.899999999999302</v>
      </c>
      <c r="B922" s="11">
        <f t="shared" si="16"/>
        <v>39.471433664477495</v>
      </c>
    </row>
    <row r="923" spans="1:2" x14ac:dyDescent="0.3">
      <c r="A923" s="11">
        <v>43.949999999999299</v>
      </c>
      <c r="B923" s="11">
        <f t="shared" si="16"/>
        <v>39.293395290556653</v>
      </c>
    </row>
    <row r="924" spans="1:2" x14ac:dyDescent="0.3">
      <c r="A924" s="11">
        <v>43.999999999999297</v>
      </c>
      <c r="B924" s="11">
        <f t="shared" si="16"/>
        <v>39.116359578505303</v>
      </c>
    </row>
    <row r="925" spans="1:2" x14ac:dyDescent="0.3">
      <c r="A925" s="11">
        <v>44.049999999999301</v>
      </c>
      <c r="B925" s="11">
        <f t="shared" si="16"/>
        <v>38.940319760059381</v>
      </c>
    </row>
    <row r="926" spans="1:2" x14ac:dyDescent="0.3">
      <c r="A926" s="11">
        <v>44.099999999999298</v>
      </c>
      <c r="B926" s="11">
        <f t="shared" si="16"/>
        <v>38.76526912019596</v>
      </c>
    </row>
    <row r="927" spans="1:2" x14ac:dyDescent="0.3">
      <c r="A927" s="11">
        <v>44.149999999999302</v>
      </c>
      <c r="B927" s="11">
        <f t="shared" si="16"/>
        <v>38.59120099665536</v>
      </c>
    </row>
    <row r="928" spans="1:2" x14ac:dyDescent="0.3">
      <c r="A928" s="11">
        <v>44.199999999999299</v>
      </c>
      <c r="B928" s="11">
        <f t="shared" si="16"/>
        <v>38.418108779467836</v>
      </c>
    </row>
    <row r="929" spans="1:2" x14ac:dyDescent="0.3">
      <c r="A929" s="11">
        <v>44.249999999999297</v>
      </c>
      <c r="B929" s="11">
        <f t="shared" si="16"/>
        <v>38.245985910484606</v>
      </c>
    </row>
    <row r="930" spans="1:2" x14ac:dyDescent="0.3">
      <c r="A930" s="11">
        <v>44.299999999999301</v>
      </c>
      <c r="B930" s="11">
        <f t="shared" si="16"/>
        <v>38.07482588291478</v>
      </c>
    </row>
    <row r="931" spans="1:2" x14ac:dyDescent="0.3">
      <c r="A931" s="11">
        <v>44.349999999999298</v>
      </c>
      <c r="B931" s="11">
        <f t="shared" si="16"/>
        <v>37.904622240865955</v>
      </c>
    </row>
    <row r="932" spans="1:2" x14ac:dyDescent="0.3">
      <c r="A932" s="11">
        <v>44.399999999999302</v>
      </c>
      <c r="B932" s="11">
        <f t="shared" si="16"/>
        <v>37.735368578889791</v>
      </c>
    </row>
    <row r="933" spans="1:2" x14ac:dyDescent="0.3">
      <c r="A933" s="11">
        <v>44.449999999999299</v>
      </c>
      <c r="B933" s="11">
        <f t="shared" si="16"/>
        <v>37.567058541531672</v>
      </c>
    </row>
    <row r="934" spans="1:2" x14ac:dyDescent="0.3">
      <c r="A934" s="11">
        <v>44.499999999999297</v>
      </c>
      <c r="B934" s="11">
        <f t="shared" si="16"/>
        <v>37.399685822885608</v>
      </c>
    </row>
    <row r="935" spans="1:2" x14ac:dyDescent="0.3">
      <c r="A935" s="11">
        <v>44.549999999999301</v>
      </c>
      <c r="B935" s="11">
        <f t="shared" si="16"/>
        <v>37.23324416615344</v>
      </c>
    </row>
    <row r="936" spans="1:2" x14ac:dyDescent="0.3">
      <c r="A936" s="11">
        <v>44.599999999999298</v>
      </c>
      <c r="B936" s="11">
        <f t="shared" si="16"/>
        <v>37.067727363207936</v>
      </c>
    </row>
    <row r="937" spans="1:2" x14ac:dyDescent="0.3">
      <c r="A937" s="11">
        <v>44.649999999999302</v>
      </c>
      <c r="B937" s="11">
        <f t="shared" si="16"/>
        <v>36.903129254160618</v>
      </c>
    </row>
    <row r="938" spans="1:2" x14ac:dyDescent="0.3">
      <c r="A938" s="11">
        <v>44.699999999999299</v>
      </c>
      <c r="B938" s="11">
        <f t="shared" si="16"/>
        <v>36.739443726934262</v>
      </c>
    </row>
    <row r="939" spans="1:2" x14ac:dyDescent="0.3">
      <c r="A939" s="11">
        <v>44.749999999999297</v>
      </c>
      <c r="B939" s="11">
        <f t="shared" si="16"/>
        <v>36.576664716838458</v>
      </c>
    </row>
    <row r="940" spans="1:2" x14ac:dyDescent="0.3">
      <c r="A940" s="11">
        <v>44.799999999999301</v>
      </c>
      <c r="B940" s="11">
        <f t="shared" si="16"/>
        <v>36.414786206151184</v>
      </c>
    </row>
    <row r="941" spans="1:2" x14ac:dyDescent="0.3">
      <c r="A941" s="11">
        <v>44.849999999999298</v>
      </c>
      <c r="B941" s="11">
        <f t="shared" si="16"/>
        <v>36.253802223702984</v>
      </c>
    </row>
    <row r="942" spans="1:2" x14ac:dyDescent="0.3">
      <c r="A942" s="11">
        <v>44.899999999999302</v>
      </c>
      <c r="B942" s="11">
        <f t="shared" ref="B942:B1005" si="17">374200000/(A942^5*(EXP(14390/(A942*Temperature))-1))</f>
        <v>36.093706844465657</v>
      </c>
    </row>
    <row r="943" spans="1:2" x14ac:dyDescent="0.3">
      <c r="A943" s="11">
        <v>44.949999999999299</v>
      </c>
      <c r="B943" s="11">
        <f t="shared" si="17"/>
        <v>35.934494189145951</v>
      </c>
    </row>
    <row r="944" spans="1:2" x14ac:dyDescent="0.3">
      <c r="A944" s="11">
        <v>44.999999999999297</v>
      </c>
      <c r="B944" s="11">
        <f t="shared" si="17"/>
        <v>35.776158423782022</v>
      </c>
    </row>
    <row r="945" spans="1:2" x14ac:dyDescent="0.3">
      <c r="A945" s="11">
        <v>45.049999999999301</v>
      </c>
      <c r="B945" s="11">
        <f t="shared" si="17"/>
        <v>35.618693759344382</v>
      </c>
    </row>
    <row r="946" spans="1:2" x14ac:dyDescent="0.3">
      <c r="A946" s="11">
        <v>45.099999999999298</v>
      </c>
      <c r="B946" s="11">
        <f t="shared" si="17"/>
        <v>35.462094451341258</v>
      </c>
    </row>
    <row r="947" spans="1:2" x14ac:dyDescent="0.3">
      <c r="A947" s="11">
        <v>45.149999999999302</v>
      </c>
      <c r="B947" s="11">
        <f t="shared" si="17"/>
        <v>35.306354799427083</v>
      </c>
    </row>
    <row r="948" spans="1:2" x14ac:dyDescent="0.3">
      <c r="A948" s="11">
        <v>45.199999999999299</v>
      </c>
      <c r="B948" s="11">
        <f t="shared" si="17"/>
        <v>35.151469147015462</v>
      </c>
    </row>
    <row r="949" spans="1:2" x14ac:dyDescent="0.3">
      <c r="A949" s="11">
        <v>45.249999999999197</v>
      </c>
      <c r="B949" s="11">
        <f t="shared" si="17"/>
        <v>34.997431880895661</v>
      </c>
    </row>
    <row r="950" spans="1:2" x14ac:dyDescent="0.3">
      <c r="A950" s="11">
        <v>45.299999999999201</v>
      </c>
      <c r="B950" s="11">
        <f t="shared" si="17"/>
        <v>34.84423743085177</v>
      </c>
    </row>
    <row r="951" spans="1:2" x14ac:dyDescent="0.3">
      <c r="A951" s="11">
        <v>45.349999999999199</v>
      </c>
      <c r="B951" s="11">
        <f t="shared" si="17"/>
        <v>34.691880269288937</v>
      </c>
    </row>
    <row r="952" spans="1:2" x14ac:dyDescent="0.3">
      <c r="A952" s="11">
        <v>45.399999999999203</v>
      </c>
      <c r="B952" s="11">
        <f t="shared" si="17"/>
        <v>34.540354910859641</v>
      </c>
    </row>
    <row r="953" spans="1:2" x14ac:dyDescent="0.3">
      <c r="A953" s="11">
        <v>45.4499999999992</v>
      </c>
      <c r="B953" s="11">
        <f t="shared" si="17"/>
        <v>34.38965591209503</v>
      </c>
    </row>
    <row r="954" spans="1:2" x14ac:dyDescent="0.3">
      <c r="A954" s="11">
        <v>45.499999999999197</v>
      </c>
      <c r="B954" s="11">
        <f t="shared" si="17"/>
        <v>34.239777871040651</v>
      </c>
    </row>
    <row r="955" spans="1:2" x14ac:dyDescent="0.3">
      <c r="A955" s="11">
        <v>45.549999999999201</v>
      </c>
      <c r="B955" s="11">
        <f t="shared" si="17"/>
        <v>34.090715426894235</v>
      </c>
    </row>
    <row r="956" spans="1:2" x14ac:dyDescent="0.3">
      <c r="A956" s="11">
        <v>45.599999999999199</v>
      </c>
      <c r="B956" s="11">
        <f t="shared" si="17"/>
        <v>33.942463259648228</v>
      </c>
    </row>
    <row r="957" spans="1:2" x14ac:dyDescent="0.3">
      <c r="A957" s="11">
        <v>45.649999999999203</v>
      </c>
      <c r="B957" s="11">
        <f t="shared" si="17"/>
        <v>33.795016089735711</v>
      </c>
    </row>
    <row r="958" spans="1:2" x14ac:dyDescent="0.3">
      <c r="A958" s="11">
        <v>45.6999999999992</v>
      </c>
      <c r="B958" s="11">
        <f t="shared" si="17"/>
        <v>33.648368677678654</v>
      </c>
    </row>
    <row r="959" spans="1:2" x14ac:dyDescent="0.3">
      <c r="A959" s="11">
        <v>45.749999999999197</v>
      </c>
      <c r="B959" s="11">
        <f t="shared" si="17"/>
        <v>33.502515823741113</v>
      </c>
    </row>
    <row r="960" spans="1:2" x14ac:dyDescent="0.3">
      <c r="A960" s="11">
        <v>45.799999999999201</v>
      </c>
      <c r="B960" s="11">
        <f t="shared" si="17"/>
        <v>33.357452367584763</v>
      </c>
    </row>
    <row r="961" spans="1:2" x14ac:dyDescent="0.3">
      <c r="A961" s="11">
        <v>45.849999999999199</v>
      </c>
      <c r="B961" s="11">
        <f t="shared" si="17"/>
        <v>33.213173187928078</v>
      </c>
    </row>
    <row r="962" spans="1:2" x14ac:dyDescent="0.3">
      <c r="A962" s="11">
        <v>45.899999999999203</v>
      </c>
      <c r="B962" s="11">
        <f t="shared" si="17"/>
        <v>33.069673202209195</v>
      </c>
    </row>
    <row r="963" spans="1:2" x14ac:dyDescent="0.3">
      <c r="A963" s="11">
        <v>45.9499999999992</v>
      </c>
      <c r="B963" s="11">
        <f t="shared" si="17"/>
        <v>32.926947366251461</v>
      </c>
    </row>
    <row r="964" spans="1:2" x14ac:dyDescent="0.3">
      <c r="A964" s="11">
        <v>45.999999999999197</v>
      </c>
      <c r="B964" s="11">
        <f t="shared" si="17"/>
        <v>32.784990673932406</v>
      </c>
    </row>
    <row r="965" spans="1:2" x14ac:dyDescent="0.3">
      <c r="A965" s="11">
        <v>46.049999999999201</v>
      </c>
      <c r="B965" s="11">
        <f t="shared" si="17"/>
        <v>32.643798156856242</v>
      </c>
    </row>
    <row r="966" spans="1:2" x14ac:dyDescent="0.3">
      <c r="A966" s="11">
        <v>46.099999999999199</v>
      </c>
      <c r="B966" s="11">
        <f t="shared" si="17"/>
        <v>32.503364884029246</v>
      </c>
    </row>
    <row r="967" spans="1:2" x14ac:dyDescent="0.3">
      <c r="A967" s="11">
        <v>46.149999999999203</v>
      </c>
      <c r="B967" s="11">
        <f t="shared" si="17"/>
        <v>32.363685961537939</v>
      </c>
    </row>
    <row r="968" spans="1:2" x14ac:dyDescent="0.3">
      <c r="A968" s="11">
        <v>46.1999999999992</v>
      </c>
      <c r="B968" s="11">
        <f t="shared" si="17"/>
        <v>32.224756532231474</v>
      </c>
    </row>
    <row r="969" spans="1:2" x14ac:dyDescent="0.3">
      <c r="A969" s="11">
        <v>46.249999999999197</v>
      </c>
      <c r="B969" s="11">
        <f t="shared" si="17"/>
        <v>32.086571775405723</v>
      </c>
    </row>
    <row r="970" spans="1:2" x14ac:dyDescent="0.3">
      <c r="A970" s="11">
        <v>46.299999999999201</v>
      </c>
      <c r="B970" s="11">
        <f t="shared" si="17"/>
        <v>31.949126906491426</v>
      </c>
    </row>
    <row r="971" spans="1:2" x14ac:dyDescent="0.3">
      <c r="A971" s="11">
        <v>46.349999999999199</v>
      </c>
      <c r="B971" s="11">
        <f t="shared" si="17"/>
        <v>31.812417176745026</v>
      </c>
    </row>
    <row r="972" spans="1:2" x14ac:dyDescent="0.3">
      <c r="A972" s="11">
        <v>46.399999999999203</v>
      </c>
      <c r="B972" s="11">
        <f t="shared" si="17"/>
        <v>31.676437872942085</v>
      </c>
    </row>
    <row r="973" spans="1:2" x14ac:dyDescent="0.3">
      <c r="A973" s="11">
        <v>46.4499999999992</v>
      </c>
      <c r="B973" s="11">
        <f t="shared" si="17"/>
        <v>31.541184317074045</v>
      </c>
    </row>
    <row r="974" spans="1:2" x14ac:dyDescent="0.3">
      <c r="A974" s="11">
        <v>46.499999999999197</v>
      </c>
      <c r="B974" s="11">
        <f t="shared" si="17"/>
        <v>31.406651866048211</v>
      </c>
    </row>
    <row r="975" spans="1:2" x14ac:dyDescent="0.3">
      <c r="A975" s="11">
        <v>46.549999999999201</v>
      </c>
      <c r="B975" s="11">
        <f t="shared" si="17"/>
        <v>31.272835911390096</v>
      </c>
    </row>
    <row r="976" spans="1:2" x14ac:dyDescent="0.3">
      <c r="A976" s="11">
        <v>46.599999999999199</v>
      </c>
      <c r="B976" s="11">
        <f t="shared" si="17"/>
        <v>31.139731878948425</v>
      </c>
    </row>
    <row r="977" spans="1:2" x14ac:dyDescent="0.3">
      <c r="A977" s="11">
        <v>46.649999999999203</v>
      </c>
      <c r="B977" s="11">
        <f t="shared" si="17"/>
        <v>31.007335228603587</v>
      </c>
    </row>
    <row r="978" spans="1:2" x14ac:dyDescent="0.3">
      <c r="A978" s="11">
        <v>46.6999999999992</v>
      </c>
      <c r="B978" s="11">
        <f t="shared" si="17"/>
        <v>30.875641453978645</v>
      </c>
    </row>
    <row r="979" spans="1:2" x14ac:dyDescent="0.3">
      <c r="A979" s="11">
        <v>46.749999999999197</v>
      </c>
      <c r="B979" s="11">
        <f t="shared" si="17"/>
        <v>30.744646082152872</v>
      </c>
    </row>
    <row r="980" spans="1:2" x14ac:dyDescent="0.3">
      <c r="A980" s="11">
        <v>46.799999999999201</v>
      </c>
      <c r="B980" s="11">
        <f t="shared" si="17"/>
        <v>30.614344673378401</v>
      </c>
    </row>
    <row r="981" spans="1:2" x14ac:dyDescent="0.3">
      <c r="A981" s="11">
        <v>46.849999999999199</v>
      </c>
      <c r="B981" s="11">
        <f t="shared" si="17"/>
        <v>30.484732820798957</v>
      </c>
    </row>
    <row r="982" spans="1:2" x14ac:dyDescent="0.3">
      <c r="A982" s="11">
        <v>46.899999999999203</v>
      </c>
      <c r="B982" s="11">
        <f t="shared" si="17"/>
        <v>30.355806150172032</v>
      </c>
    </row>
    <row r="983" spans="1:2" x14ac:dyDescent="0.3">
      <c r="A983" s="11">
        <v>46.9499999999992</v>
      </c>
      <c r="B983" s="11">
        <f t="shared" si="17"/>
        <v>30.227560319593191</v>
      </c>
    </row>
    <row r="984" spans="1:2" x14ac:dyDescent="0.3">
      <c r="A984" s="11">
        <v>46.999999999999197</v>
      </c>
      <c r="B984" s="11">
        <f t="shared" si="17"/>
        <v>30.099991019223449</v>
      </c>
    </row>
    <row r="985" spans="1:2" x14ac:dyDescent="0.3">
      <c r="A985" s="11">
        <v>47.049999999999201</v>
      </c>
      <c r="B985" s="11">
        <f t="shared" si="17"/>
        <v>29.973093971018347</v>
      </c>
    </row>
    <row r="986" spans="1:2" x14ac:dyDescent="0.3">
      <c r="A986" s="11">
        <v>47.099999999999199</v>
      </c>
      <c r="B986" s="11">
        <f t="shared" si="17"/>
        <v>29.846864928460679</v>
      </c>
    </row>
    <row r="987" spans="1:2" x14ac:dyDescent="0.3">
      <c r="A987" s="11">
        <v>47.149999999999203</v>
      </c>
      <c r="B987" s="11">
        <f t="shared" si="17"/>
        <v>29.72129967629477</v>
      </c>
    </row>
    <row r="988" spans="1:2" x14ac:dyDescent="0.3">
      <c r="A988" s="11">
        <v>47.1999999999992</v>
      </c>
      <c r="B988" s="11">
        <f t="shared" si="17"/>
        <v>29.596394030264477</v>
      </c>
    </row>
    <row r="989" spans="1:2" x14ac:dyDescent="0.3">
      <c r="A989" s="11">
        <v>47.249999999999197</v>
      </c>
      <c r="B989" s="11">
        <f t="shared" si="17"/>
        <v>29.472143836852045</v>
      </c>
    </row>
    <row r="990" spans="1:2" x14ac:dyDescent="0.3">
      <c r="A990" s="11">
        <v>47.299999999999201</v>
      </c>
      <c r="B990" s="11">
        <f t="shared" si="17"/>
        <v>29.348544973021145</v>
      </c>
    </row>
    <row r="991" spans="1:2" x14ac:dyDescent="0.3">
      <c r="A991" s="11">
        <v>47.349999999999199</v>
      </c>
      <c r="B991" s="11">
        <f t="shared" si="17"/>
        <v>29.225593345960668</v>
      </c>
    </row>
    <row r="992" spans="1:2" x14ac:dyDescent="0.3">
      <c r="A992" s="11">
        <v>47.399999999999203</v>
      </c>
      <c r="B992" s="11">
        <f t="shared" si="17"/>
        <v>29.103284892832644</v>
      </c>
    </row>
    <row r="993" spans="1:2" x14ac:dyDescent="0.3">
      <c r="A993" s="11">
        <v>47.4499999999992</v>
      </c>
      <c r="B993" s="11">
        <f t="shared" si="17"/>
        <v>28.981615580520813</v>
      </c>
    </row>
    <row r="994" spans="1:2" x14ac:dyDescent="0.3">
      <c r="A994" s="11">
        <v>47.499999999999197</v>
      </c>
      <c r="B994" s="11">
        <f t="shared" si="17"/>
        <v>28.86058140538298</v>
      </c>
    </row>
    <row r="995" spans="1:2" x14ac:dyDescent="0.3">
      <c r="A995" s="11">
        <v>47.549999999999201</v>
      </c>
      <c r="B995" s="11">
        <f t="shared" si="17"/>
        <v>28.740178393004985</v>
      </c>
    </row>
    <row r="996" spans="1:2" x14ac:dyDescent="0.3">
      <c r="A996" s="11">
        <v>47.599999999999199</v>
      </c>
      <c r="B996" s="11">
        <f t="shared" si="17"/>
        <v>28.620402597956922</v>
      </c>
    </row>
    <row r="997" spans="1:2" x14ac:dyDescent="0.3">
      <c r="A997" s="11">
        <v>47.649999999999203</v>
      </c>
      <c r="B997" s="11">
        <f t="shared" si="17"/>
        <v>28.501250103551801</v>
      </c>
    </row>
    <row r="998" spans="1:2" x14ac:dyDescent="0.3">
      <c r="A998" s="11">
        <v>47.6999999999992</v>
      </c>
      <c r="B998" s="11">
        <f t="shared" si="17"/>
        <v>28.382717021607039</v>
      </c>
    </row>
    <row r="999" spans="1:2" x14ac:dyDescent="0.3">
      <c r="A999" s="11">
        <v>47.749999999999197</v>
      </c>
      <c r="B999" s="11">
        <f t="shared" si="17"/>
        <v>28.26479949220677</v>
      </c>
    </row>
    <row r="1000" spans="1:2" x14ac:dyDescent="0.3">
      <c r="A1000" s="11">
        <v>47.799999999999201</v>
      </c>
      <c r="B1000" s="11">
        <f t="shared" si="17"/>
        <v>28.147493683467946</v>
      </c>
    </row>
    <row r="1001" spans="1:2" x14ac:dyDescent="0.3">
      <c r="A1001" s="11">
        <v>47.849999999999199</v>
      </c>
      <c r="B1001" s="11">
        <f t="shared" si="17"/>
        <v>28.0307957913076</v>
      </c>
    </row>
    <row r="1002" spans="1:2" x14ac:dyDescent="0.3">
      <c r="A1002" s="11">
        <v>47.899999999999203</v>
      </c>
      <c r="B1002" s="11">
        <f t="shared" si="17"/>
        <v>27.91470203921261</v>
      </c>
    </row>
    <row r="1003" spans="1:2" x14ac:dyDescent="0.3">
      <c r="A1003" s="11">
        <v>47.9499999999992</v>
      </c>
      <c r="B1003" s="11">
        <f t="shared" si="17"/>
        <v>27.799208678011585</v>
      </c>
    </row>
    <row r="1004" spans="1:2" x14ac:dyDescent="0.3">
      <c r="A1004" s="11">
        <v>47.999999999999197</v>
      </c>
      <c r="B1004" s="11">
        <f t="shared" si="17"/>
        <v>27.68431198564916</v>
      </c>
    </row>
    <row r="1005" spans="1:2" x14ac:dyDescent="0.3">
      <c r="A1005" s="11">
        <v>48.049999999999201</v>
      </c>
      <c r="B1005" s="11">
        <f t="shared" si="17"/>
        <v>27.570008266961569</v>
      </c>
    </row>
    <row r="1006" spans="1:2" x14ac:dyDescent="0.3">
      <c r="A1006" s="11">
        <v>48.099999999999199</v>
      </c>
      <c r="B1006" s="11">
        <f t="shared" ref="B1006:B1069" si="18">374200000/(A1006^5*(EXP(14390/(A1006*Temperature))-1))</f>
        <v>27.456293853455222</v>
      </c>
    </row>
    <row r="1007" spans="1:2" x14ac:dyDescent="0.3">
      <c r="A1007" s="11">
        <v>48.149999999999203</v>
      </c>
      <c r="B1007" s="11">
        <f t="shared" si="18"/>
        <v>27.343165103086609</v>
      </c>
    </row>
    <row r="1008" spans="1:2" x14ac:dyDescent="0.3">
      <c r="A1008" s="11">
        <v>48.1999999999992</v>
      </c>
      <c r="B1008" s="11">
        <f t="shared" si="18"/>
        <v>27.230618400045252</v>
      </c>
    </row>
    <row r="1009" spans="1:2" x14ac:dyDescent="0.3">
      <c r="A1009" s="11">
        <v>48.249999999999197</v>
      </c>
      <c r="B1009" s="11">
        <f t="shared" si="18"/>
        <v>27.118650154537033</v>
      </c>
    </row>
    <row r="1010" spans="1:2" x14ac:dyDescent="0.3">
      <c r="A1010" s="11">
        <v>48.299999999999201</v>
      </c>
      <c r="B1010" s="11">
        <f t="shared" si="18"/>
        <v>27.00725680257128</v>
      </c>
    </row>
    <row r="1011" spans="1:2" x14ac:dyDescent="0.3">
      <c r="A1011" s="11">
        <v>48.349999999999199</v>
      </c>
      <c r="B1011" s="11">
        <f t="shared" si="18"/>
        <v>26.896434805748733</v>
      </c>
    </row>
    <row r="1012" spans="1:2" x14ac:dyDescent="0.3">
      <c r="A1012" s="11">
        <v>48.399999999999203</v>
      </c>
      <c r="B1012" s="11">
        <f t="shared" si="18"/>
        <v>26.786180651051559</v>
      </c>
    </row>
    <row r="1013" spans="1:2" x14ac:dyDescent="0.3">
      <c r="A1013" s="11">
        <v>48.4499999999992</v>
      </c>
      <c r="B1013" s="11">
        <f t="shared" si="18"/>
        <v>26.676490850635759</v>
      </c>
    </row>
    <row r="1014" spans="1:2" x14ac:dyDescent="0.3">
      <c r="A1014" s="11">
        <v>48.499999999999197</v>
      </c>
      <c r="B1014" s="11">
        <f t="shared" si="18"/>
        <v>26.567361941625272</v>
      </c>
    </row>
    <row r="1015" spans="1:2" x14ac:dyDescent="0.3">
      <c r="A1015" s="11">
        <v>48.549999999999201</v>
      </c>
      <c r="B1015" s="11">
        <f t="shared" si="18"/>
        <v>26.45879048590745</v>
      </c>
    </row>
    <row r="1016" spans="1:2" x14ac:dyDescent="0.3">
      <c r="A1016" s="11">
        <v>48.599999999999199</v>
      </c>
      <c r="B1016" s="11">
        <f t="shared" si="18"/>
        <v>26.35077306993146</v>
      </c>
    </row>
    <row r="1017" spans="1:2" x14ac:dyDescent="0.3">
      <c r="A1017" s="11">
        <v>48.649999999999203</v>
      </c>
      <c r="B1017" s="11">
        <f t="shared" si="18"/>
        <v>26.243306304507751</v>
      </c>
    </row>
    <row r="1018" spans="1:2" x14ac:dyDescent="0.3">
      <c r="A1018" s="11">
        <v>48.6999999999992</v>
      </c>
      <c r="B1018" s="11">
        <f t="shared" si="18"/>
        <v>26.136386824609378</v>
      </c>
    </row>
    <row r="1019" spans="1:2" x14ac:dyDescent="0.3">
      <c r="A1019" s="11">
        <v>48.749999999999197</v>
      </c>
      <c r="B1019" s="11">
        <f t="shared" si="18"/>
        <v>26.030011289175718</v>
      </c>
    </row>
    <row r="1020" spans="1:2" x14ac:dyDescent="0.3">
      <c r="A1020" s="11">
        <v>48.799999999999201</v>
      </c>
      <c r="B1020" s="11">
        <f t="shared" si="18"/>
        <v>25.924176380916851</v>
      </c>
    </row>
    <row r="1021" spans="1:2" x14ac:dyDescent="0.3">
      <c r="A1021" s="11">
        <v>48.849999999999199</v>
      </c>
      <c r="B1021" s="11">
        <f t="shared" si="18"/>
        <v>25.81887880612171</v>
      </c>
    </row>
    <row r="1022" spans="1:2" x14ac:dyDescent="0.3">
      <c r="A1022" s="11">
        <v>48.899999999999203</v>
      </c>
      <c r="B1022" s="11">
        <f t="shared" si="18"/>
        <v>25.71411529446533</v>
      </c>
    </row>
    <row r="1023" spans="1:2" x14ac:dyDescent="0.3">
      <c r="A1023" s="11">
        <v>48.9499999999992</v>
      </c>
      <c r="B1023" s="11">
        <f t="shared" si="18"/>
        <v>25.609882598820473</v>
      </c>
    </row>
    <row r="1024" spans="1:2" x14ac:dyDescent="0.3">
      <c r="A1024" s="11">
        <v>48.999999999999197</v>
      </c>
      <c r="B1024" s="11">
        <f t="shared" si="18"/>
        <v>25.506177495069043</v>
      </c>
    </row>
    <row r="1025" spans="1:2" x14ac:dyDescent="0.3">
      <c r="A1025" s="11">
        <v>49.049999999999201</v>
      </c>
      <c r="B1025" s="11">
        <f t="shared" si="18"/>
        <v>25.402996781916151</v>
      </c>
    </row>
    <row r="1026" spans="1:2" x14ac:dyDescent="0.3">
      <c r="A1026" s="11">
        <v>49.099999999999199</v>
      </c>
      <c r="B1026" s="11">
        <f t="shared" si="18"/>
        <v>25.300337280705556</v>
      </c>
    </row>
    <row r="1027" spans="1:2" x14ac:dyDescent="0.3">
      <c r="A1027" s="11">
        <v>49.149999999999203</v>
      </c>
      <c r="B1027" s="11">
        <f t="shared" si="18"/>
        <v>25.198195835237339</v>
      </c>
    </row>
    <row r="1028" spans="1:2" x14ac:dyDescent="0.3">
      <c r="A1028" s="11">
        <v>49.1999999999992</v>
      </c>
      <c r="B1028" s="11">
        <f t="shared" si="18"/>
        <v>25.096569311586183</v>
      </c>
    </row>
    <row r="1029" spans="1:2" x14ac:dyDescent="0.3">
      <c r="A1029" s="11">
        <v>49.249999999999197</v>
      </c>
      <c r="B1029" s="11">
        <f t="shared" si="18"/>
        <v>24.995454597922095</v>
      </c>
    </row>
    <row r="1030" spans="1:2" x14ac:dyDescent="0.3">
      <c r="A1030" s="11">
        <v>49.299999999999201</v>
      </c>
      <c r="B1030" s="11">
        <f t="shared" si="18"/>
        <v>24.894848604332822</v>
      </c>
    </row>
    <row r="1031" spans="1:2" x14ac:dyDescent="0.3">
      <c r="A1031" s="11">
        <v>49.349999999999199</v>
      </c>
      <c r="B1031" s="11">
        <f t="shared" si="18"/>
        <v>24.794748262647413</v>
      </c>
    </row>
    <row r="1032" spans="1:2" x14ac:dyDescent="0.3">
      <c r="A1032" s="11">
        <v>49.399999999999203</v>
      </c>
      <c r="B1032" s="11">
        <f t="shared" si="18"/>
        <v>24.69515052626123</v>
      </c>
    </row>
    <row r="1033" spans="1:2" x14ac:dyDescent="0.3">
      <c r="A1033" s="11">
        <v>49.4499999999992</v>
      </c>
      <c r="B1033" s="11">
        <f t="shared" si="18"/>
        <v>24.596052369963598</v>
      </c>
    </row>
    <row r="1034" spans="1:2" x14ac:dyDescent="0.3">
      <c r="A1034" s="11">
        <v>49.499999999999197</v>
      </c>
      <c r="B1034" s="11">
        <f t="shared" si="18"/>
        <v>24.497450789765519</v>
      </c>
    </row>
    <row r="1035" spans="1:2" x14ac:dyDescent="0.3">
      <c r="A1035" s="11">
        <v>49.549999999999201</v>
      </c>
      <c r="B1035" s="11">
        <f t="shared" si="18"/>
        <v>24.39934280273032</v>
      </c>
    </row>
    <row r="1036" spans="1:2" x14ac:dyDescent="0.3">
      <c r="A1036" s="11">
        <v>49.599999999999199</v>
      </c>
      <c r="B1036" s="11">
        <f t="shared" si="18"/>
        <v>24.301725446805012</v>
      </c>
    </row>
    <row r="1037" spans="1:2" x14ac:dyDescent="0.3">
      <c r="A1037" s="11">
        <v>49.649999999999203</v>
      </c>
      <c r="B1037" s="11">
        <f t="shared" si="18"/>
        <v>24.204595780653133</v>
      </c>
    </row>
    <row r="1038" spans="1:2" x14ac:dyDescent="0.3">
      <c r="A1038" s="11">
        <v>49.6999999999992</v>
      </c>
      <c r="B1038" s="11">
        <f t="shared" si="18"/>
        <v>24.107950883489632</v>
      </c>
    </row>
    <row r="1039" spans="1:2" x14ac:dyDescent="0.3">
      <c r="A1039" s="11">
        <v>49.749999999999197</v>
      </c>
      <c r="B1039" s="11">
        <f t="shared" si="18"/>
        <v>24.011787854916733</v>
      </c>
    </row>
    <row r="1040" spans="1:2" x14ac:dyDescent="0.3">
      <c r="A1040" s="11">
        <v>49.799999999999201</v>
      </c>
      <c r="B1040" s="11">
        <f t="shared" si="18"/>
        <v>23.916103814761563</v>
      </c>
    </row>
    <row r="1041" spans="1:2" x14ac:dyDescent="0.3">
      <c r="A1041" s="11">
        <v>49.849999999999199</v>
      </c>
      <c r="B1041" s="11">
        <f t="shared" si="18"/>
        <v>23.820895902915233</v>
      </c>
    </row>
    <row r="1042" spans="1:2" x14ac:dyDescent="0.3">
      <c r="A1042" s="11">
        <v>49.899999999999103</v>
      </c>
      <c r="B1042" s="11">
        <f t="shared" si="18"/>
        <v>23.726161279173237</v>
      </c>
    </row>
    <row r="1043" spans="1:2" x14ac:dyDescent="0.3">
      <c r="A1043" s="11">
        <v>49.9499999999992</v>
      </c>
      <c r="B1043" s="11">
        <f t="shared" si="18"/>
        <v>23.631897123076431</v>
      </c>
    </row>
    <row r="1044" spans="1:2" x14ac:dyDescent="0.3">
      <c r="A1044" s="11">
        <v>49.999999999999197</v>
      </c>
      <c r="B1044" s="11">
        <f t="shared" si="18"/>
        <v>23.53810063375623</v>
      </c>
    </row>
    <row r="1045" spans="1:2" x14ac:dyDescent="0.3">
      <c r="A1045" s="11">
        <v>50.049999999999102</v>
      </c>
      <c r="B1045" s="11">
        <f t="shared" si="18"/>
        <v>23.444769029777614</v>
      </c>
    </row>
    <row r="1046" spans="1:2" x14ac:dyDescent="0.3">
      <c r="A1046" s="11">
        <v>50.099999999999099</v>
      </c>
      <c r="B1046" s="11">
        <f t="shared" si="18"/>
        <v>23.35189954898533</v>
      </c>
    </row>
    <row r="1047" spans="1:2" x14ac:dyDescent="0.3">
      <c r="A1047" s="11">
        <v>50.149999999999103</v>
      </c>
      <c r="B1047" s="11">
        <f t="shared" si="18"/>
        <v>23.259489448352085</v>
      </c>
    </row>
    <row r="1048" spans="1:2" x14ac:dyDescent="0.3">
      <c r="A1048" s="11">
        <v>50.1999999999991</v>
      </c>
      <c r="B1048" s="11">
        <f t="shared" si="18"/>
        <v>23.167536003826907</v>
      </c>
    </row>
    <row r="1049" spans="1:2" x14ac:dyDescent="0.3">
      <c r="A1049" s="11">
        <v>50.249999999999098</v>
      </c>
      <c r="B1049" s="11">
        <f t="shared" si="18"/>
        <v>23.076036510184942</v>
      </c>
    </row>
    <row r="1050" spans="1:2" x14ac:dyDescent="0.3">
      <c r="A1050" s="11">
        <v>50.299999999999102</v>
      </c>
      <c r="B1050" s="11">
        <f t="shared" si="18"/>
        <v>22.984988280879744</v>
      </c>
    </row>
    <row r="1051" spans="1:2" x14ac:dyDescent="0.3">
      <c r="A1051" s="11">
        <v>50.349999999999099</v>
      </c>
      <c r="B1051" s="11">
        <f t="shared" si="18"/>
        <v>22.894388647894903</v>
      </c>
    </row>
    <row r="1052" spans="1:2" x14ac:dyDescent="0.3">
      <c r="A1052" s="11">
        <v>50.399999999999103</v>
      </c>
      <c r="B1052" s="11">
        <f t="shared" si="18"/>
        <v>22.804234961599068</v>
      </c>
    </row>
    <row r="1053" spans="1:2" x14ac:dyDescent="0.3">
      <c r="A1053" s="11">
        <v>50.4499999999991</v>
      </c>
      <c r="B1053" s="11">
        <f t="shared" si="18"/>
        <v>22.714524590601116</v>
      </c>
    </row>
    <row r="1054" spans="1:2" x14ac:dyDescent="0.3">
      <c r="A1054" s="11">
        <v>50.499999999999098</v>
      </c>
      <c r="B1054" s="11">
        <f t="shared" si="18"/>
        <v>22.625254921606217</v>
      </c>
    </row>
    <row r="1055" spans="1:2" x14ac:dyDescent="0.3">
      <c r="A1055" s="11">
        <v>50.549999999999102</v>
      </c>
      <c r="B1055" s="11">
        <f t="shared" si="18"/>
        <v>22.536423359274458</v>
      </c>
    </row>
    <row r="1056" spans="1:2" x14ac:dyDescent="0.3">
      <c r="A1056" s="11">
        <v>50.599999999999099</v>
      </c>
      <c r="B1056" s="11">
        <f t="shared" si="18"/>
        <v>22.448027326079707</v>
      </c>
    </row>
    <row r="1057" spans="1:2" x14ac:dyDescent="0.3">
      <c r="A1057" s="11">
        <v>50.649999999999103</v>
      </c>
      <c r="B1057" s="11">
        <f t="shared" si="18"/>
        <v>22.360064262169892</v>
      </c>
    </row>
    <row r="1058" spans="1:2" x14ac:dyDescent="0.3">
      <c r="A1058" s="11">
        <v>50.6999999999991</v>
      </c>
      <c r="B1058" s="11">
        <f t="shared" si="18"/>
        <v>22.272531625228794</v>
      </c>
    </row>
    <row r="1059" spans="1:2" x14ac:dyDescent="0.3">
      <c r="A1059" s="11">
        <v>50.749999999999098</v>
      </c>
      <c r="B1059" s="11">
        <f t="shared" si="18"/>
        <v>22.18542689033907</v>
      </c>
    </row>
    <row r="1060" spans="1:2" x14ac:dyDescent="0.3">
      <c r="A1060" s="11">
        <v>50.799999999999102</v>
      </c>
      <c r="B1060" s="11">
        <f t="shared" si="18"/>
        <v>22.098747549845918</v>
      </c>
    </row>
    <row r="1061" spans="1:2" x14ac:dyDescent="0.3">
      <c r="A1061" s="11">
        <v>50.849999999999099</v>
      </c>
      <c r="B1061" s="11">
        <f t="shared" si="18"/>
        <v>22.012491113222442</v>
      </c>
    </row>
    <row r="1062" spans="1:2" x14ac:dyDescent="0.3">
      <c r="A1062" s="11">
        <v>50.899999999999103</v>
      </c>
      <c r="B1062" s="11">
        <f t="shared" si="18"/>
        <v>21.926655106936312</v>
      </c>
    </row>
    <row r="1063" spans="1:2" x14ac:dyDescent="0.3">
      <c r="A1063" s="11">
        <v>50.9499999999991</v>
      </c>
      <c r="B1063" s="11">
        <f t="shared" si="18"/>
        <v>21.841237074317114</v>
      </c>
    </row>
    <row r="1064" spans="1:2" x14ac:dyDescent="0.3">
      <c r="A1064" s="11">
        <v>50.999999999999098</v>
      </c>
      <c r="B1064" s="11">
        <f t="shared" si="18"/>
        <v>21.756234575425303</v>
      </c>
    </row>
    <row r="1065" spans="1:2" x14ac:dyDescent="0.3">
      <c r="A1065" s="11">
        <v>51.049999999999102</v>
      </c>
      <c r="B1065" s="11">
        <f t="shared" si="18"/>
        <v>21.671645186921914</v>
      </c>
    </row>
    <row r="1066" spans="1:2" x14ac:dyDescent="0.3">
      <c r="A1066" s="11">
        <v>51.099999999999099</v>
      </c>
      <c r="B1066" s="11">
        <f t="shared" si="18"/>
        <v>21.587466501939709</v>
      </c>
    </row>
    <row r="1067" spans="1:2" x14ac:dyDescent="0.3">
      <c r="A1067" s="11">
        <v>51.149999999999103</v>
      </c>
      <c r="B1067" s="11">
        <f t="shared" si="18"/>
        <v>21.503696129955582</v>
      </c>
    </row>
    <row r="1068" spans="1:2" x14ac:dyDescent="0.3">
      <c r="A1068" s="11">
        <v>51.1999999999991</v>
      </c>
      <c r="B1068" s="11">
        <f t="shared" si="18"/>
        <v>21.420331696663165</v>
      </c>
    </row>
    <row r="1069" spans="1:2" x14ac:dyDescent="0.3">
      <c r="A1069" s="11">
        <v>51.249999999999098</v>
      </c>
      <c r="B1069" s="11">
        <f t="shared" si="18"/>
        <v>21.337370843848085</v>
      </c>
    </row>
    <row r="1070" spans="1:2" x14ac:dyDescent="0.3">
      <c r="A1070" s="11">
        <v>51.299999999999102</v>
      </c>
      <c r="B1070" s="11">
        <f t="shared" ref="B1070:B1133" si="19">374200000/(A1070^5*(EXP(14390/(A1070*Temperature))-1))</f>
        <v>21.254811229262927</v>
      </c>
    </row>
    <row r="1071" spans="1:2" x14ac:dyDescent="0.3">
      <c r="A1071" s="11">
        <v>51.349999999999099</v>
      </c>
      <c r="B1071" s="11">
        <f t="shared" si="19"/>
        <v>21.172650526503606</v>
      </c>
    </row>
    <row r="1072" spans="1:2" x14ac:dyDescent="0.3">
      <c r="A1072" s="11">
        <v>51.399999999999103</v>
      </c>
      <c r="B1072" s="11">
        <f t="shared" si="19"/>
        <v>21.090886424887746</v>
      </c>
    </row>
    <row r="1073" spans="1:2" x14ac:dyDescent="0.3">
      <c r="A1073" s="11">
        <v>51.4499999999991</v>
      </c>
      <c r="B1073" s="11">
        <f t="shared" si="19"/>
        <v>21.009516629332765</v>
      </c>
    </row>
    <row r="1074" spans="1:2" x14ac:dyDescent="0.3">
      <c r="A1074" s="11">
        <v>51.499999999999098</v>
      </c>
      <c r="B1074" s="11">
        <f t="shared" si="19"/>
        <v>20.928538860235516</v>
      </c>
    </row>
    <row r="1075" spans="1:2" x14ac:dyDescent="0.3">
      <c r="A1075" s="11">
        <v>51.549999999999102</v>
      </c>
      <c r="B1075" s="11">
        <f t="shared" si="19"/>
        <v>20.847950853353897</v>
      </c>
    </row>
    <row r="1076" spans="1:2" x14ac:dyDescent="0.3">
      <c r="A1076" s="11">
        <v>51.599999999999099</v>
      </c>
      <c r="B1076" s="11">
        <f t="shared" si="19"/>
        <v>20.767750359687778</v>
      </c>
    </row>
    <row r="1077" spans="1:2" x14ac:dyDescent="0.3">
      <c r="A1077" s="11">
        <v>51.649999999999103</v>
      </c>
      <c r="B1077" s="11">
        <f t="shared" si="19"/>
        <v>20.687935145362264</v>
      </c>
    </row>
    <row r="1078" spans="1:2" x14ac:dyDescent="0.3">
      <c r="A1078" s="11">
        <v>51.6999999999991</v>
      </c>
      <c r="B1078" s="11">
        <f t="shared" si="19"/>
        <v>20.608502991511724</v>
      </c>
    </row>
    <row r="1079" spans="1:2" x14ac:dyDescent="0.3">
      <c r="A1079" s="11">
        <v>51.749999999999098</v>
      </c>
      <c r="B1079" s="11">
        <f t="shared" si="19"/>
        <v>20.529451694164127</v>
      </c>
    </row>
    <row r="1080" spans="1:2" x14ac:dyDescent="0.3">
      <c r="A1080" s="11">
        <v>51.799999999999102</v>
      </c>
      <c r="B1080" s="11">
        <f t="shared" si="19"/>
        <v>20.450779064127438</v>
      </c>
    </row>
    <row r="1081" spans="1:2" x14ac:dyDescent="0.3">
      <c r="A1081" s="11">
        <v>51.849999999999099</v>
      </c>
      <c r="B1081" s="11">
        <f t="shared" si="19"/>
        <v>20.372482926876216</v>
      </c>
    </row>
    <row r="1082" spans="1:2" x14ac:dyDescent="0.3">
      <c r="A1082" s="11">
        <v>51.899999999999103</v>
      </c>
      <c r="B1082" s="11">
        <f t="shared" si="19"/>
        <v>20.294561122439355</v>
      </c>
    </row>
    <row r="1083" spans="1:2" x14ac:dyDescent="0.3">
      <c r="A1083" s="11">
        <v>51.9499999999991</v>
      </c>
      <c r="B1083" s="11">
        <f t="shared" si="19"/>
        <v>20.217011505289001</v>
      </c>
    </row>
    <row r="1084" spans="1:2" x14ac:dyDescent="0.3">
      <c r="A1084" s="11">
        <v>51.999999999999098</v>
      </c>
      <c r="B1084" s="11">
        <f t="shared" si="19"/>
        <v>20.13983194423027</v>
      </c>
    </row>
    <row r="1085" spans="1:2" x14ac:dyDescent="0.3">
      <c r="A1085" s="11">
        <v>52.049999999999102</v>
      </c>
      <c r="B1085" s="11">
        <f t="shared" si="19"/>
        <v>20.063020322291742</v>
      </c>
    </row>
    <row r="1086" spans="1:2" x14ac:dyDescent="0.3">
      <c r="A1086" s="11">
        <v>52.099999999999099</v>
      </c>
      <c r="B1086" s="11">
        <f t="shared" si="19"/>
        <v>19.986574536617443</v>
      </c>
    </row>
    <row r="1087" spans="1:2" x14ac:dyDescent="0.3">
      <c r="A1087" s="11">
        <v>52.149999999999103</v>
      </c>
      <c r="B1087" s="11">
        <f t="shared" si="19"/>
        <v>19.910492498358888</v>
      </c>
    </row>
    <row r="1088" spans="1:2" x14ac:dyDescent="0.3">
      <c r="A1088" s="11">
        <v>52.1999999999991</v>
      </c>
      <c r="B1088" s="11">
        <f t="shared" si="19"/>
        <v>19.834772132569181</v>
      </c>
    </row>
    <row r="1089" spans="1:2" x14ac:dyDescent="0.3">
      <c r="A1089" s="11">
        <v>52.249999999999098</v>
      </c>
      <c r="B1089" s="11">
        <f t="shared" si="19"/>
        <v>19.759411378096662</v>
      </c>
    </row>
    <row r="1090" spans="1:2" x14ac:dyDescent="0.3">
      <c r="A1090" s="11">
        <v>52.299999999999102</v>
      </c>
      <c r="B1090" s="11">
        <f t="shared" si="19"/>
        <v>19.684408187480795</v>
      </c>
    </row>
    <row r="1091" spans="1:2" x14ac:dyDescent="0.3">
      <c r="A1091" s="11">
        <v>52.349999999999099</v>
      </c>
      <c r="B1091" s="11">
        <f t="shared" si="19"/>
        <v>19.609760526848074</v>
      </c>
    </row>
    <row r="1092" spans="1:2" x14ac:dyDescent="0.3">
      <c r="A1092" s="11">
        <v>52.399999999999103</v>
      </c>
      <c r="B1092" s="11">
        <f t="shared" si="19"/>
        <v>19.535466375809072</v>
      </c>
    </row>
    <row r="1093" spans="1:2" x14ac:dyDescent="0.3">
      <c r="A1093" s="11">
        <v>52.4499999999991</v>
      </c>
      <c r="B1093" s="11">
        <f t="shared" si="19"/>
        <v>19.461523727356226</v>
      </c>
    </row>
    <row r="1094" spans="1:2" x14ac:dyDescent="0.3">
      <c r="A1094" s="11">
        <v>52.499999999999098</v>
      </c>
      <c r="B1094" s="11">
        <f t="shared" si="19"/>
        <v>19.387930587763144</v>
      </c>
    </row>
    <row r="1095" spans="1:2" x14ac:dyDescent="0.3">
      <c r="A1095" s="11">
        <v>52.549999999999102</v>
      </c>
      <c r="B1095" s="11">
        <f t="shared" si="19"/>
        <v>19.314684976483591</v>
      </c>
    </row>
    <row r="1096" spans="1:2" x14ac:dyDescent="0.3">
      <c r="A1096" s="11">
        <v>52.599999999999099</v>
      </c>
      <c r="B1096" s="11">
        <f t="shared" si="19"/>
        <v>19.241784926052702</v>
      </c>
    </row>
    <row r="1097" spans="1:2" x14ac:dyDescent="0.3">
      <c r="A1097" s="11">
        <v>52.649999999999103</v>
      </c>
      <c r="B1097" s="11">
        <f t="shared" si="19"/>
        <v>19.169228481987496</v>
      </c>
    </row>
    <row r="1098" spans="1:2" x14ac:dyDescent="0.3">
      <c r="A1098" s="11">
        <v>52.6999999999991</v>
      </c>
      <c r="B1098" s="11">
        <f t="shared" si="19"/>
        <v>19.097013702690045</v>
      </c>
    </row>
    <row r="1099" spans="1:2" x14ac:dyDescent="0.3">
      <c r="A1099" s="11">
        <v>52.749999999999098</v>
      </c>
      <c r="B1099" s="11">
        <f t="shared" si="19"/>
        <v>19.025138659349754</v>
      </c>
    </row>
    <row r="1100" spans="1:2" x14ac:dyDescent="0.3">
      <c r="A1100" s="11">
        <v>52.799999999999102</v>
      </c>
      <c r="B1100" s="11">
        <f t="shared" si="19"/>
        <v>18.953601435847425</v>
      </c>
    </row>
    <row r="1101" spans="1:2" x14ac:dyDescent="0.3">
      <c r="A1101" s="11">
        <v>52.849999999999099</v>
      </c>
      <c r="B1101" s="11">
        <f t="shared" si="19"/>
        <v>18.882400128659839</v>
      </c>
    </row>
    <row r="1102" spans="1:2" x14ac:dyDescent="0.3">
      <c r="A1102" s="11">
        <v>52.899999999999103</v>
      </c>
      <c r="B1102" s="11">
        <f t="shared" si="19"/>
        <v>18.811532846765623</v>
      </c>
    </row>
    <row r="1103" spans="1:2" x14ac:dyDescent="0.3">
      <c r="A1103" s="11">
        <v>52.9499999999991</v>
      </c>
      <c r="B1103" s="11">
        <f t="shared" si="19"/>
        <v>18.740997711550911</v>
      </c>
    </row>
    <row r="1104" spans="1:2" x14ac:dyDescent="0.3">
      <c r="A1104" s="11">
        <v>52.999999999999098</v>
      </c>
      <c r="B1104" s="11">
        <f t="shared" si="19"/>
        <v>18.670792856716783</v>
      </c>
    </row>
    <row r="1105" spans="1:2" x14ac:dyDescent="0.3">
      <c r="A1105" s="11">
        <v>53.049999999999102</v>
      </c>
      <c r="B1105" s="11">
        <f t="shared" si="19"/>
        <v>18.600916428186924</v>
      </c>
    </row>
    <row r="1106" spans="1:2" x14ac:dyDescent="0.3">
      <c r="A1106" s="11">
        <v>53.099999999999099</v>
      </c>
      <c r="B1106" s="11">
        <f t="shared" si="19"/>
        <v>18.531366584016254</v>
      </c>
    </row>
    <row r="1107" spans="1:2" x14ac:dyDescent="0.3">
      <c r="A1107" s="11">
        <v>53.149999999999103</v>
      </c>
      <c r="B1107" s="11">
        <f t="shared" si="19"/>
        <v>18.462141494300347</v>
      </c>
    </row>
    <row r="1108" spans="1:2" x14ac:dyDescent="0.3">
      <c r="A1108" s="11">
        <v>53.1999999999991</v>
      </c>
      <c r="B1108" s="11">
        <f t="shared" si="19"/>
        <v>18.3932393410856</v>
      </c>
    </row>
    <row r="1109" spans="1:2" x14ac:dyDescent="0.3">
      <c r="A1109" s="11">
        <v>53.249999999999098</v>
      </c>
      <c r="B1109" s="11">
        <f t="shared" si="19"/>
        <v>18.324658318280019</v>
      </c>
    </row>
    <row r="1110" spans="1:2" x14ac:dyDescent="0.3">
      <c r="A1110" s="11">
        <v>53.299999999999102</v>
      </c>
      <c r="B1110" s="11">
        <f t="shared" si="19"/>
        <v>18.256396631564943</v>
      </c>
    </row>
    <row r="1111" spans="1:2" x14ac:dyDescent="0.3">
      <c r="A1111" s="11">
        <v>53.349999999999099</v>
      </c>
      <c r="B1111" s="11">
        <f t="shared" si="19"/>
        <v>18.188452498307182</v>
      </c>
    </row>
    <row r="1112" spans="1:2" x14ac:dyDescent="0.3">
      <c r="A1112" s="11">
        <v>53.399999999999103</v>
      </c>
      <c r="B1112" s="11">
        <f t="shared" si="19"/>
        <v>18.120824147472621</v>
      </c>
    </row>
    <row r="1113" spans="1:2" x14ac:dyDescent="0.3">
      <c r="A1113" s="11">
        <v>53.4499999999991</v>
      </c>
      <c r="B1113" s="11">
        <f t="shared" si="19"/>
        <v>18.053509819539357</v>
      </c>
    </row>
    <row r="1114" spans="1:2" x14ac:dyDescent="0.3">
      <c r="A1114" s="11">
        <v>53.499999999999098</v>
      </c>
      <c r="B1114" s="11">
        <f t="shared" si="19"/>
        <v>17.986507766413038</v>
      </c>
    </row>
    <row r="1115" spans="1:2" x14ac:dyDescent="0.3">
      <c r="A1115" s="11">
        <v>53.549999999999102</v>
      </c>
      <c r="B1115" s="11">
        <f t="shared" si="19"/>
        <v>17.919816251341494</v>
      </c>
    </row>
    <row r="1116" spans="1:2" x14ac:dyDescent="0.3">
      <c r="A1116" s="11">
        <v>53.599999999999099</v>
      </c>
      <c r="B1116" s="11">
        <f t="shared" si="19"/>
        <v>17.853433548830854</v>
      </c>
    </row>
    <row r="1117" spans="1:2" x14ac:dyDescent="0.3">
      <c r="A1117" s="11">
        <v>53.649999999999103</v>
      </c>
      <c r="B1117" s="11">
        <f t="shared" si="19"/>
        <v>17.787357944562579</v>
      </c>
    </row>
    <row r="1118" spans="1:2" x14ac:dyDescent="0.3">
      <c r="A1118" s="11">
        <v>53.6999999999991</v>
      </c>
      <c r="B1118" s="11">
        <f t="shared" si="19"/>
        <v>17.721587735310315</v>
      </c>
    </row>
    <row r="1119" spans="1:2" x14ac:dyDescent="0.3">
      <c r="A1119" s="11">
        <v>53.749999999999098</v>
      </c>
      <c r="B1119" s="11">
        <f t="shared" si="19"/>
        <v>17.656121228858368</v>
      </c>
    </row>
    <row r="1120" spans="1:2" x14ac:dyDescent="0.3">
      <c r="A1120" s="11">
        <v>53.799999999999102</v>
      </c>
      <c r="B1120" s="11">
        <f t="shared" si="19"/>
        <v>17.59095674391995</v>
      </c>
    </row>
    <row r="1121" spans="1:2" x14ac:dyDescent="0.3">
      <c r="A1121" s="11">
        <v>53.849999999999099</v>
      </c>
      <c r="B1121" s="11">
        <f t="shared" si="19"/>
        <v>17.526092610057177</v>
      </c>
    </row>
    <row r="1122" spans="1:2" x14ac:dyDescent="0.3">
      <c r="A1122" s="11">
        <v>53.899999999999103</v>
      </c>
      <c r="B1122" s="11">
        <f t="shared" si="19"/>
        <v>17.461527167600785</v>
      </c>
    </row>
    <row r="1123" spans="1:2" x14ac:dyDescent="0.3">
      <c r="A1123" s="11">
        <v>53.9499999999991</v>
      </c>
      <c r="B1123" s="11">
        <f t="shared" si="19"/>
        <v>17.397258767570868</v>
      </c>
    </row>
    <row r="1124" spans="1:2" x14ac:dyDescent="0.3">
      <c r="A1124" s="11">
        <v>53.999999999999098</v>
      </c>
      <c r="B1124" s="11">
        <f t="shared" si="19"/>
        <v>17.333285771598234</v>
      </c>
    </row>
    <row r="1125" spans="1:2" x14ac:dyDescent="0.3">
      <c r="A1125" s="11">
        <v>54.049999999999102</v>
      </c>
      <c r="B1125" s="11">
        <f t="shared" si="19"/>
        <v>17.269606551846753</v>
      </c>
    </row>
    <row r="1126" spans="1:2" x14ac:dyDescent="0.3">
      <c r="A1126" s="11">
        <v>54.099999999999099</v>
      </c>
      <c r="B1126" s="11">
        <f t="shared" si="19"/>
        <v>17.206219490935712</v>
      </c>
    </row>
    <row r="1127" spans="1:2" x14ac:dyDescent="0.3">
      <c r="A1127" s="11">
        <v>54.149999999999103</v>
      </c>
      <c r="B1127" s="11">
        <f t="shared" si="19"/>
        <v>17.143122981863215</v>
      </c>
    </row>
    <row r="1128" spans="1:2" x14ac:dyDescent="0.3">
      <c r="A1128" s="11">
        <v>54.1999999999991</v>
      </c>
      <c r="B1128" s="11">
        <f t="shared" si="19"/>
        <v>17.080315427930202</v>
      </c>
    </row>
    <row r="1129" spans="1:2" x14ac:dyDescent="0.3">
      <c r="A1129" s="11">
        <v>54.249999999999098</v>
      </c>
      <c r="B1129" s="11">
        <f t="shared" si="19"/>
        <v>17.017795242665105</v>
      </c>
    </row>
    <row r="1130" spans="1:2" x14ac:dyDescent="0.3">
      <c r="A1130" s="11">
        <v>54.299999999999102</v>
      </c>
      <c r="B1130" s="11">
        <f t="shared" si="19"/>
        <v>16.95556084974875</v>
      </c>
    </row>
    <row r="1131" spans="1:2" x14ac:dyDescent="0.3">
      <c r="A1131" s="11">
        <v>54.349999999999099</v>
      </c>
      <c r="B1131" s="11">
        <f t="shared" si="19"/>
        <v>16.893610682940572</v>
      </c>
    </row>
    <row r="1132" spans="1:2" x14ac:dyDescent="0.3">
      <c r="A1132" s="11">
        <v>54.399999999999103</v>
      </c>
      <c r="B1132" s="11">
        <f t="shared" si="19"/>
        <v>16.831943186004779</v>
      </c>
    </row>
    <row r="1133" spans="1:2" x14ac:dyDescent="0.3">
      <c r="A1133" s="11">
        <v>54.4499999999991</v>
      </c>
      <c r="B1133" s="11">
        <f t="shared" si="19"/>
        <v>16.770556812637299</v>
      </c>
    </row>
    <row r="1134" spans="1:2" x14ac:dyDescent="0.3">
      <c r="A1134" s="11">
        <v>54.499999999999098</v>
      </c>
      <c r="B1134" s="11">
        <f t="shared" ref="B1134:B1197" si="20">374200000/(A1134^5*(EXP(14390/(A1134*Temperature))-1))</f>
        <v>16.709450026393721</v>
      </c>
    </row>
    <row r="1135" spans="1:2" x14ac:dyDescent="0.3">
      <c r="A1135" s="11">
        <v>54.549999999999002</v>
      </c>
      <c r="B1135" s="11">
        <f t="shared" si="20"/>
        <v>16.648621300617396</v>
      </c>
    </row>
    <row r="1136" spans="1:2" x14ac:dyDescent="0.3">
      <c r="A1136" s="11">
        <v>54.599999999999099</v>
      </c>
      <c r="B1136" s="11">
        <f t="shared" si="20"/>
        <v>16.588069118367684</v>
      </c>
    </row>
    <row r="1137" spans="1:2" x14ac:dyDescent="0.3">
      <c r="A1137" s="11">
        <v>54.649999999998997</v>
      </c>
      <c r="B1137" s="11">
        <f t="shared" si="20"/>
        <v>16.527791972350869</v>
      </c>
    </row>
    <row r="1138" spans="1:2" x14ac:dyDescent="0.3">
      <c r="A1138" s="11">
        <v>54.699999999999001</v>
      </c>
      <c r="B1138" s="11">
        <f t="shared" si="20"/>
        <v>16.467788364847941</v>
      </c>
    </row>
    <row r="1139" spans="1:2" x14ac:dyDescent="0.3">
      <c r="A1139" s="11">
        <v>54.749999999999098</v>
      </c>
      <c r="B1139" s="11">
        <f t="shared" si="20"/>
        <v>16.408056807646918</v>
      </c>
    </row>
    <row r="1140" spans="1:2" x14ac:dyDescent="0.3">
      <c r="A1140" s="11">
        <v>54.799999999999002</v>
      </c>
      <c r="B1140" s="11">
        <f t="shared" si="20"/>
        <v>16.348595821973646</v>
      </c>
    </row>
    <row r="1141" spans="1:2" x14ac:dyDescent="0.3">
      <c r="A1141" s="11">
        <v>54.849999999999</v>
      </c>
      <c r="B1141" s="11">
        <f t="shared" si="20"/>
        <v>16.289403938422343</v>
      </c>
    </row>
    <row r="1142" spans="1:2" x14ac:dyDescent="0.3">
      <c r="A1142" s="11">
        <v>54.899999999998997</v>
      </c>
      <c r="B1142" s="11">
        <f t="shared" si="20"/>
        <v>16.230479696889223</v>
      </c>
    </row>
    <row r="1143" spans="1:2" x14ac:dyDescent="0.3">
      <c r="A1143" s="11">
        <v>54.949999999999001</v>
      </c>
      <c r="B1143" s="11">
        <f t="shared" si="20"/>
        <v>16.171821646504473</v>
      </c>
    </row>
    <row r="1144" spans="1:2" x14ac:dyDescent="0.3">
      <c r="A1144" s="11">
        <v>54.999999999998998</v>
      </c>
      <c r="B1144" s="11">
        <f t="shared" si="20"/>
        <v>16.113428345565715</v>
      </c>
    </row>
    <row r="1145" spans="1:2" x14ac:dyDescent="0.3">
      <c r="A1145" s="11">
        <v>55.049999999999002</v>
      </c>
      <c r="B1145" s="11">
        <f t="shared" si="20"/>
        <v>16.055298361472101</v>
      </c>
    </row>
    <row r="1146" spans="1:2" x14ac:dyDescent="0.3">
      <c r="A1146" s="11">
        <v>55.099999999999</v>
      </c>
      <c r="B1146" s="11">
        <f t="shared" si="20"/>
        <v>15.99743027065832</v>
      </c>
    </row>
    <row r="1147" spans="1:2" x14ac:dyDescent="0.3">
      <c r="A1147" s="11">
        <v>55.149999999998997</v>
      </c>
      <c r="B1147" s="11">
        <f t="shared" si="20"/>
        <v>15.939822658529947</v>
      </c>
    </row>
    <row r="1148" spans="1:2" x14ac:dyDescent="0.3">
      <c r="A1148" s="11">
        <v>55.199999999999001</v>
      </c>
      <c r="B1148" s="11">
        <f t="shared" si="20"/>
        <v>15.882474119398516</v>
      </c>
    </row>
    <row r="1149" spans="1:2" x14ac:dyDescent="0.3">
      <c r="A1149" s="11">
        <v>55.249999999998998</v>
      </c>
      <c r="B1149" s="11">
        <f t="shared" si="20"/>
        <v>15.825383256417664</v>
      </c>
    </row>
    <row r="1150" spans="1:2" x14ac:dyDescent="0.3">
      <c r="A1150" s="11">
        <v>55.299999999999002</v>
      </c>
      <c r="B1150" s="11">
        <f t="shared" si="20"/>
        <v>15.76854868151981</v>
      </c>
    </row>
    <row r="1151" spans="1:2" x14ac:dyDescent="0.3">
      <c r="A1151" s="11">
        <v>55.349999999999</v>
      </c>
      <c r="B1151" s="11">
        <f t="shared" si="20"/>
        <v>15.711969015352835</v>
      </c>
    </row>
    <row r="1152" spans="1:2" x14ac:dyDescent="0.3">
      <c r="A1152" s="11">
        <v>55.399999999998997</v>
      </c>
      <c r="B1152" s="11">
        <f t="shared" si="20"/>
        <v>15.655642887217667</v>
      </c>
    </row>
    <row r="1153" spans="1:2" x14ac:dyDescent="0.3">
      <c r="A1153" s="11">
        <v>55.449999999999001</v>
      </c>
      <c r="B1153" s="11">
        <f t="shared" si="20"/>
        <v>15.599568935006527</v>
      </c>
    </row>
    <row r="1154" spans="1:2" x14ac:dyDescent="0.3">
      <c r="A1154" s="11">
        <v>55.499999999998998</v>
      </c>
      <c r="B1154" s="11">
        <f t="shared" si="20"/>
        <v>15.54374580514126</v>
      </c>
    </row>
    <row r="1155" spans="1:2" x14ac:dyDescent="0.3">
      <c r="A1155" s="11">
        <v>55.549999999999002</v>
      </c>
      <c r="B1155" s="11">
        <f t="shared" si="20"/>
        <v>15.488172152512325</v>
      </c>
    </row>
    <row r="1156" spans="1:2" x14ac:dyDescent="0.3">
      <c r="A1156" s="11">
        <v>55.599999999999</v>
      </c>
      <c r="B1156" s="11">
        <f t="shared" si="20"/>
        <v>15.432846640418347</v>
      </c>
    </row>
    <row r="1157" spans="1:2" x14ac:dyDescent="0.3">
      <c r="A1157" s="11">
        <v>55.649999999998997</v>
      </c>
      <c r="B1157" s="11">
        <f t="shared" si="20"/>
        <v>15.377767940506088</v>
      </c>
    </row>
    <row r="1158" spans="1:2" x14ac:dyDescent="0.3">
      <c r="A1158" s="11">
        <v>55.699999999999001</v>
      </c>
      <c r="B1158" s="11">
        <f t="shared" si="20"/>
        <v>15.322934732710976</v>
      </c>
    </row>
    <row r="1159" spans="1:2" x14ac:dyDescent="0.3">
      <c r="A1159" s="11">
        <v>55.749999999998998</v>
      </c>
      <c r="B1159" s="11">
        <f t="shared" si="20"/>
        <v>15.268345705198055</v>
      </c>
    </row>
    <row r="1160" spans="1:2" x14ac:dyDescent="0.3">
      <c r="A1160" s="11">
        <v>55.799999999999002</v>
      </c>
      <c r="B1160" s="11">
        <f t="shared" si="20"/>
        <v>15.213999554303252</v>
      </c>
    </row>
    <row r="1161" spans="1:2" x14ac:dyDescent="0.3">
      <c r="A1161" s="11">
        <v>55.849999999999</v>
      </c>
      <c r="B1161" s="11">
        <f t="shared" si="20"/>
        <v>15.159894984475493</v>
      </c>
    </row>
    <row r="1162" spans="1:2" x14ac:dyDescent="0.3">
      <c r="A1162" s="11">
        <v>55.899999999998997</v>
      </c>
      <c r="B1162" s="11">
        <f t="shared" si="20"/>
        <v>15.10603070821873</v>
      </c>
    </row>
    <row r="1163" spans="1:2" x14ac:dyDescent="0.3">
      <c r="A1163" s="11">
        <v>55.949999999999001</v>
      </c>
      <c r="B1163" s="11">
        <f t="shared" si="20"/>
        <v>15.052405446035189</v>
      </c>
    </row>
    <row r="1164" spans="1:2" x14ac:dyDescent="0.3">
      <c r="A1164" s="11">
        <v>55.999999999998998</v>
      </c>
      <c r="B1164" s="11">
        <f t="shared" si="20"/>
        <v>14.999017926368287</v>
      </c>
    </row>
    <row r="1165" spans="1:2" x14ac:dyDescent="0.3">
      <c r="A1165" s="11">
        <v>56.049999999999002</v>
      </c>
      <c r="B1165" s="11">
        <f t="shared" si="20"/>
        <v>14.945866885546454</v>
      </c>
    </row>
    <row r="1166" spans="1:2" x14ac:dyDescent="0.3">
      <c r="A1166" s="11">
        <v>56.099999999999</v>
      </c>
      <c r="B1166" s="11">
        <f t="shared" si="20"/>
        <v>14.89295106772726</v>
      </c>
    </row>
    <row r="1167" spans="1:2" x14ac:dyDescent="0.3">
      <c r="A1167" s="11">
        <v>56.149999999998997</v>
      </c>
      <c r="B1167" s="11">
        <f t="shared" si="20"/>
        <v>14.840269224842368</v>
      </c>
    </row>
    <row r="1168" spans="1:2" x14ac:dyDescent="0.3">
      <c r="A1168" s="11">
        <v>56.199999999999001</v>
      </c>
      <c r="B1168" s="11">
        <f t="shared" si="20"/>
        <v>14.787820116541948</v>
      </c>
    </row>
    <row r="1169" spans="1:2" x14ac:dyDescent="0.3">
      <c r="A1169" s="11">
        <v>56.249999999998998</v>
      </c>
      <c r="B1169" s="11">
        <f t="shared" si="20"/>
        <v>14.735602510140801</v>
      </c>
    </row>
    <row r="1170" spans="1:2" x14ac:dyDescent="0.3">
      <c r="A1170" s="11">
        <v>56.299999999999002</v>
      </c>
      <c r="B1170" s="11">
        <f t="shared" si="20"/>
        <v>14.6836151805638</v>
      </c>
    </row>
    <row r="1171" spans="1:2" x14ac:dyDescent="0.3">
      <c r="A1171" s="11">
        <v>56.349999999999</v>
      </c>
      <c r="B1171" s="11">
        <f t="shared" si="20"/>
        <v>14.631856910292653</v>
      </c>
    </row>
    <row r="1172" spans="1:2" x14ac:dyDescent="0.3">
      <c r="A1172" s="11">
        <v>56.399999999998997</v>
      </c>
      <c r="B1172" s="11">
        <f t="shared" si="20"/>
        <v>14.580326489312398</v>
      </c>
    </row>
    <row r="1173" spans="1:2" x14ac:dyDescent="0.3">
      <c r="A1173" s="11">
        <v>56.449999999999001</v>
      </c>
      <c r="B1173" s="11">
        <f t="shared" si="20"/>
        <v>14.529022715058495</v>
      </c>
    </row>
    <row r="1174" spans="1:2" x14ac:dyDescent="0.3">
      <c r="A1174" s="11">
        <v>56.499999999998998</v>
      </c>
      <c r="B1174" s="11">
        <f t="shared" si="20"/>
        <v>14.477944392364968</v>
      </c>
    </row>
    <row r="1175" spans="1:2" x14ac:dyDescent="0.3">
      <c r="A1175" s="11">
        <v>56.549999999999002</v>
      </c>
      <c r="B1175" s="11">
        <f t="shared" si="20"/>
        <v>14.427090333411831</v>
      </c>
    </row>
    <row r="1176" spans="1:2" x14ac:dyDescent="0.3">
      <c r="A1176" s="11">
        <v>56.599999999999</v>
      </c>
      <c r="B1176" s="11">
        <f t="shared" si="20"/>
        <v>14.37645935767398</v>
      </c>
    </row>
    <row r="1177" spans="1:2" x14ac:dyDescent="0.3">
      <c r="A1177" s="11">
        <v>56.649999999998997</v>
      </c>
      <c r="B1177" s="11">
        <f t="shared" si="20"/>
        <v>14.326050291869695</v>
      </c>
    </row>
    <row r="1178" spans="1:2" x14ac:dyDescent="0.3">
      <c r="A1178" s="11">
        <v>56.699999999999001</v>
      </c>
      <c r="B1178" s="11">
        <f t="shared" si="20"/>
        <v>14.275861969910181</v>
      </c>
    </row>
    <row r="1179" spans="1:2" x14ac:dyDescent="0.3">
      <c r="A1179" s="11">
        <v>56.749999999998998</v>
      </c>
      <c r="B1179" s="11">
        <f t="shared" si="20"/>
        <v>14.225893232849002</v>
      </c>
    </row>
    <row r="1180" spans="1:2" x14ac:dyDescent="0.3">
      <c r="A1180" s="11">
        <v>56.799999999999002</v>
      </c>
      <c r="B1180" s="11">
        <f t="shared" si="20"/>
        <v>14.176142928832173</v>
      </c>
    </row>
    <row r="1181" spans="1:2" x14ac:dyDescent="0.3">
      <c r="A1181" s="11">
        <v>56.849999999999</v>
      </c>
      <c r="B1181" s="11">
        <f t="shared" si="20"/>
        <v>14.126609913048776</v>
      </c>
    </row>
    <row r="1182" spans="1:2" x14ac:dyDescent="0.3">
      <c r="A1182" s="11">
        <v>56.899999999998997</v>
      </c>
      <c r="B1182" s="11">
        <f t="shared" si="20"/>
        <v>14.077293047681534</v>
      </c>
    </row>
    <row r="1183" spans="1:2" x14ac:dyDescent="0.3">
      <c r="A1183" s="11">
        <v>56.949999999999001</v>
      </c>
      <c r="B1183" s="11">
        <f t="shared" si="20"/>
        <v>14.028191201858283</v>
      </c>
    </row>
    <row r="1184" spans="1:2" x14ac:dyDescent="0.3">
      <c r="A1184" s="11">
        <v>56.999999999998998</v>
      </c>
      <c r="B1184" s="11">
        <f t="shared" si="20"/>
        <v>13.979303251603246</v>
      </c>
    </row>
    <row r="1185" spans="1:2" x14ac:dyDescent="0.3">
      <c r="A1185" s="11">
        <v>57.049999999999002</v>
      </c>
      <c r="B1185" s="11">
        <f t="shared" si="20"/>
        <v>13.930628079789258</v>
      </c>
    </row>
    <row r="1186" spans="1:2" x14ac:dyDescent="0.3">
      <c r="A1186" s="11">
        <v>57.099999999999</v>
      </c>
      <c r="B1186" s="11">
        <f t="shared" si="20"/>
        <v>13.882164576090146</v>
      </c>
    </row>
    <row r="1187" spans="1:2" x14ac:dyDescent="0.3">
      <c r="A1187" s="11">
        <v>57.149999999998997</v>
      </c>
      <c r="B1187" s="11">
        <f t="shared" si="20"/>
        <v>13.833911636933163</v>
      </c>
    </row>
    <row r="1188" spans="1:2" x14ac:dyDescent="0.3">
      <c r="A1188" s="11">
        <v>57.199999999999001</v>
      </c>
      <c r="B1188" s="11">
        <f t="shared" si="20"/>
        <v>13.785868165452513</v>
      </c>
    </row>
    <row r="1189" spans="1:2" x14ac:dyDescent="0.3">
      <c r="A1189" s="11">
        <v>57.249999999998998</v>
      </c>
      <c r="B1189" s="11">
        <f t="shared" si="20"/>
        <v>13.738033071442452</v>
      </c>
    </row>
    <row r="1190" spans="1:2" x14ac:dyDescent="0.3">
      <c r="A1190" s="11">
        <v>57.299999999999002</v>
      </c>
      <c r="B1190" s="11">
        <f t="shared" si="20"/>
        <v>13.69040527131115</v>
      </c>
    </row>
    <row r="1191" spans="1:2" x14ac:dyDescent="0.3">
      <c r="A1191" s="11">
        <v>57.349999999999</v>
      </c>
      <c r="B1191" s="11">
        <f t="shared" si="20"/>
        <v>13.642983688035034</v>
      </c>
    </row>
    <row r="1192" spans="1:2" x14ac:dyDescent="0.3">
      <c r="A1192" s="11">
        <v>57.399999999998997</v>
      </c>
      <c r="B1192" s="11">
        <f t="shared" si="20"/>
        <v>13.595767251113369</v>
      </c>
    </row>
    <row r="1193" spans="1:2" x14ac:dyDescent="0.3">
      <c r="A1193" s="11">
        <v>57.449999999999001</v>
      </c>
      <c r="B1193" s="11">
        <f t="shared" si="20"/>
        <v>13.548754896522807</v>
      </c>
    </row>
    <row r="1194" spans="1:2" x14ac:dyDescent="0.3">
      <c r="A1194" s="11">
        <v>57.499999999998998</v>
      </c>
      <c r="B1194" s="11">
        <f t="shared" si="20"/>
        <v>13.501945566673038</v>
      </c>
    </row>
    <row r="1195" spans="1:2" x14ac:dyDescent="0.3">
      <c r="A1195" s="11">
        <v>57.549999999999002</v>
      </c>
      <c r="B1195" s="11">
        <f t="shared" si="20"/>
        <v>13.45533821036207</v>
      </c>
    </row>
    <row r="1196" spans="1:2" x14ac:dyDescent="0.3">
      <c r="A1196" s="11">
        <v>57.599999999999</v>
      </c>
      <c r="B1196" s="11">
        <f t="shared" si="20"/>
        <v>13.408931782732479</v>
      </c>
    </row>
    <row r="1197" spans="1:2" x14ac:dyDescent="0.3">
      <c r="A1197" s="11">
        <v>57.649999999998997</v>
      </c>
      <c r="B1197" s="11">
        <f t="shared" si="20"/>
        <v>13.362725245227216</v>
      </c>
    </row>
    <row r="1198" spans="1:2" x14ac:dyDescent="0.3">
      <c r="A1198" s="11">
        <v>57.699999999999001</v>
      </c>
      <c r="B1198" s="11">
        <f t="shared" ref="B1198:B1261" si="21">374200000/(A1198^5*(EXP(14390/(A1198*Temperature))-1))</f>
        <v>13.316717565546755</v>
      </c>
    </row>
    <row r="1199" spans="1:2" x14ac:dyDescent="0.3">
      <c r="A1199" s="11">
        <v>57.749999999998998</v>
      </c>
      <c r="B1199" s="11">
        <f t="shared" si="21"/>
        <v>13.270907717605672</v>
      </c>
    </row>
    <row r="1200" spans="1:2" x14ac:dyDescent="0.3">
      <c r="A1200" s="11">
        <v>57.799999999999002</v>
      </c>
      <c r="B1200" s="11">
        <f t="shared" si="21"/>
        <v>13.225294681490137</v>
      </c>
    </row>
    <row r="1201" spans="1:2" x14ac:dyDescent="0.3">
      <c r="A1201" s="11">
        <v>57.849999999999</v>
      </c>
      <c r="B1201" s="11">
        <f t="shared" si="21"/>
        <v>13.179877443415469</v>
      </c>
    </row>
    <row r="1202" spans="1:2" x14ac:dyDescent="0.3">
      <c r="A1202" s="11">
        <v>57.899999999998997</v>
      </c>
      <c r="B1202" s="11">
        <f t="shared" si="21"/>
        <v>13.134654995683864</v>
      </c>
    </row>
    <row r="1203" spans="1:2" x14ac:dyDescent="0.3">
      <c r="A1203" s="11">
        <v>57.949999999999001</v>
      </c>
      <c r="B1203" s="11">
        <f t="shared" si="21"/>
        <v>13.089626336643118</v>
      </c>
    </row>
    <row r="1204" spans="1:2" x14ac:dyDescent="0.3">
      <c r="A1204" s="11">
        <v>57.999999999998998</v>
      </c>
      <c r="B1204" s="11">
        <f t="shared" si="21"/>
        <v>13.044790470644788</v>
      </c>
    </row>
    <row r="1205" spans="1:2" x14ac:dyDescent="0.3">
      <c r="A1205" s="11">
        <v>58.049999999999002</v>
      </c>
      <c r="B1205" s="11">
        <f t="shared" si="21"/>
        <v>13.00014640800322</v>
      </c>
    </row>
    <row r="1206" spans="1:2" x14ac:dyDescent="0.3">
      <c r="A1206" s="11">
        <v>58.099999999999</v>
      </c>
      <c r="B1206" s="11">
        <f t="shared" si="21"/>
        <v>12.955693164955031</v>
      </c>
    </row>
    <row r="1207" spans="1:2" x14ac:dyDescent="0.3">
      <c r="A1207" s="11">
        <v>58.149999999998997</v>
      </c>
      <c r="B1207" s="11">
        <f t="shared" si="21"/>
        <v>12.911429763618219</v>
      </c>
    </row>
    <row r="1208" spans="1:2" x14ac:dyDescent="0.3">
      <c r="A1208" s="11">
        <v>58.199999999999001</v>
      </c>
      <c r="B1208" s="11">
        <f t="shared" si="21"/>
        <v>12.867355231952269</v>
      </c>
    </row>
    <row r="1209" spans="1:2" x14ac:dyDescent="0.3">
      <c r="A1209" s="11">
        <v>58.249999999998998</v>
      </c>
      <c r="B1209" s="11">
        <f t="shared" si="21"/>
        <v>12.823468603718446</v>
      </c>
    </row>
    <row r="1210" spans="1:2" x14ac:dyDescent="0.3">
      <c r="A1210" s="11">
        <v>58.299999999999002</v>
      </c>
      <c r="B1210" s="11">
        <f t="shared" si="21"/>
        <v>12.779768918439723</v>
      </c>
    </row>
    <row r="1211" spans="1:2" x14ac:dyDescent="0.3">
      <c r="A1211" s="11">
        <v>58.349999999999</v>
      </c>
      <c r="B1211" s="11">
        <f t="shared" si="21"/>
        <v>12.736255221362249</v>
      </c>
    </row>
    <row r="1212" spans="1:2" x14ac:dyDescent="0.3">
      <c r="A1212" s="11">
        <v>58.399999999998997</v>
      </c>
      <c r="B1212" s="11">
        <f t="shared" si="21"/>
        <v>12.692926563415833</v>
      </c>
    </row>
    <row r="1213" spans="1:2" x14ac:dyDescent="0.3">
      <c r="A1213" s="11">
        <v>58.449999999999001</v>
      </c>
      <c r="B1213" s="11">
        <f t="shared" si="21"/>
        <v>12.649782001175573</v>
      </c>
    </row>
    <row r="1214" spans="1:2" x14ac:dyDescent="0.3">
      <c r="A1214" s="11">
        <v>58.499999999998998</v>
      </c>
      <c r="B1214" s="11">
        <f t="shared" si="21"/>
        <v>12.606820596823546</v>
      </c>
    </row>
    <row r="1215" spans="1:2" x14ac:dyDescent="0.3">
      <c r="A1215" s="11">
        <v>58.549999999999002</v>
      </c>
      <c r="B1215" s="11">
        <f t="shared" si="21"/>
        <v>12.564041418110506</v>
      </c>
    </row>
    <row r="1216" spans="1:2" x14ac:dyDescent="0.3">
      <c r="A1216" s="11">
        <v>58.599999999999</v>
      </c>
      <c r="B1216" s="11">
        <f t="shared" si="21"/>
        <v>12.521443538318595</v>
      </c>
    </row>
    <row r="1217" spans="1:2" x14ac:dyDescent="0.3">
      <c r="A1217" s="11">
        <v>58.649999999998997</v>
      </c>
      <c r="B1217" s="11">
        <f t="shared" si="21"/>
        <v>12.479026036223347</v>
      </c>
    </row>
    <row r="1218" spans="1:2" x14ac:dyDescent="0.3">
      <c r="A1218" s="11">
        <v>58.699999999999001</v>
      </c>
      <c r="B1218" s="11">
        <f t="shared" si="21"/>
        <v>12.436787996056715</v>
      </c>
    </row>
    <row r="1219" spans="1:2" x14ac:dyDescent="0.3">
      <c r="A1219" s="11">
        <v>58.749999999998998</v>
      </c>
      <c r="B1219" s="11">
        <f t="shared" si="21"/>
        <v>12.39472850747029</v>
      </c>
    </row>
    <row r="1220" spans="1:2" x14ac:dyDescent="0.3">
      <c r="A1220" s="11">
        <v>58.799999999999002</v>
      </c>
      <c r="B1220" s="11">
        <f t="shared" si="21"/>
        <v>12.352846665498614</v>
      </c>
    </row>
    <row r="1221" spans="1:2" x14ac:dyDescent="0.3">
      <c r="A1221" s="11">
        <v>58.849999999999</v>
      </c>
      <c r="B1221" s="11">
        <f t="shared" si="21"/>
        <v>12.311141570522588</v>
      </c>
    </row>
    <row r="1222" spans="1:2" x14ac:dyDescent="0.3">
      <c r="A1222" s="11">
        <v>58.899999999998997</v>
      </c>
      <c r="B1222" s="11">
        <f t="shared" si="21"/>
        <v>12.269612328233778</v>
      </c>
    </row>
    <row r="1223" spans="1:2" x14ac:dyDescent="0.3">
      <c r="A1223" s="11">
        <v>58.949999999999001</v>
      </c>
      <c r="B1223" s="11">
        <f t="shared" si="21"/>
        <v>12.228258049598473</v>
      </c>
    </row>
    <row r="1224" spans="1:2" x14ac:dyDescent="0.3">
      <c r="A1224" s="11">
        <v>58.999999999998998</v>
      </c>
      <c r="B1224" s="11">
        <f t="shared" si="21"/>
        <v>12.187077850821904</v>
      </c>
    </row>
    <row r="1225" spans="1:2" x14ac:dyDescent="0.3">
      <c r="A1225" s="11">
        <v>59.049999999999002</v>
      </c>
      <c r="B1225" s="11">
        <f t="shared" si="21"/>
        <v>12.146070853313553</v>
      </c>
    </row>
    <row r="1226" spans="1:2" x14ac:dyDescent="0.3">
      <c r="A1226" s="11">
        <v>59.099999999999</v>
      </c>
      <c r="B1226" s="11">
        <f t="shared" si="21"/>
        <v>12.105236183651522</v>
      </c>
    </row>
    <row r="1227" spans="1:2" x14ac:dyDescent="0.3">
      <c r="A1227" s="11">
        <v>59.149999999998997</v>
      </c>
      <c r="B1227" s="11">
        <f t="shared" si="21"/>
        <v>12.064572973548337</v>
      </c>
    </row>
    <row r="1228" spans="1:2" x14ac:dyDescent="0.3">
      <c r="A1228" s="11">
        <v>59.199999999999001</v>
      </c>
      <c r="B1228" s="11">
        <f t="shared" si="21"/>
        <v>12.0240803598161</v>
      </c>
    </row>
    <row r="1229" spans="1:2" x14ac:dyDescent="0.3">
      <c r="A1229" s="11">
        <v>59.249999999998998</v>
      </c>
      <c r="B1229" s="11">
        <f t="shared" si="21"/>
        <v>11.983757484332591</v>
      </c>
    </row>
    <row r="1230" spans="1:2" x14ac:dyDescent="0.3">
      <c r="A1230" s="11">
        <v>59.299999999998903</v>
      </c>
      <c r="B1230" s="11">
        <f t="shared" si="21"/>
        <v>11.943603494007194</v>
      </c>
    </row>
    <row r="1231" spans="1:2" x14ac:dyDescent="0.3">
      <c r="A1231" s="11">
        <v>59.3499999999989</v>
      </c>
      <c r="B1231" s="11">
        <f t="shared" si="21"/>
        <v>11.903617540746966</v>
      </c>
    </row>
    <row r="1232" spans="1:2" x14ac:dyDescent="0.3">
      <c r="A1232" s="11">
        <v>59.399999999998897</v>
      </c>
      <c r="B1232" s="11">
        <f t="shared" si="21"/>
        <v>11.863798781423617</v>
      </c>
    </row>
    <row r="1233" spans="1:2" x14ac:dyDescent="0.3">
      <c r="A1233" s="11">
        <v>59.449999999998902</v>
      </c>
      <c r="B1233" s="11">
        <f t="shared" si="21"/>
        <v>11.82414637784021</v>
      </c>
    </row>
    <row r="1234" spans="1:2" x14ac:dyDescent="0.3">
      <c r="A1234" s="11">
        <v>59.499999999998899</v>
      </c>
      <c r="B1234" s="11">
        <f t="shared" si="21"/>
        <v>11.784659496698032</v>
      </c>
    </row>
    <row r="1235" spans="1:2" x14ac:dyDescent="0.3">
      <c r="A1235" s="11">
        <v>59.549999999998903</v>
      </c>
      <c r="B1235" s="11">
        <f t="shared" si="21"/>
        <v>11.745337309564093</v>
      </c>
    </row>
    <row r="1236" spans="1:2" x14ac:dyDescent="0.3">
      <c r="A1236" s="11">
        <v>59.5999999999989</v>
      </c>
      <c r="B1236" s="11">
        <f t="shared" si="21"/>
        <v>11.706178992838645</v>
      </c>
    </row>
    <row r="1237" spans="1:2" x14ac:dyDescent="0.3">
      <c r="A1237" s="11">
        <v>59.649999999998897</v>
      </c>
      <c r="B1237" s="11">
        <f t="shared" si="21"/>
        <v>11.667183727722827</v>
      </c>
    </row>
    <row r="1238" spans="1:2" x14ac:dyDescent="0.3">
      <c r="A1238" s="11">
        <v>59.699999999998902</v>
      </c>
      <c r="B1238" s="11">
        <f t="shared" si="21"/>
        <v>11.62835070018707</v>
      </c>
    </row>
    <row r="1239" spans="1:2" x14ac:dyDescent="0.3">
      <c r="A1239" s="11">
        <v>59.749999999998899</v>
      </c>
      <c r="B1239" s="11">
        <f t="shared" si="21"/>
        <v>11.589679100938918</v>
      </c>
    </row>
    <row r="1240" spans="1:2" x14ac:dyDescent="0.3">
      <c r="A1240" s="11">
        <v>59.799999999998903</v>
      </c>
      <c r="B1240" s="11">
        <f t="shared" si="21"/>
        <v>11.551168125391982</v>
      </c>
    </row>
    <row r="1241" spans="1:2" x14ac:dyDescent="0.3">
      <c r="A1241" s="11">
        <v>59.8499999999989</v>
      </c>
      <c r="B1241" s="11">
        <f t="shared" si="21"/>
        <v>11.512816973634454</v>
      </c>
    </row>
    <row r="1242" spans="1:2" x14ac:dyDescent="0.3">
      <c r="A1242" s="11">
        <v>59.899999999998897</v>
      </c>
      <c r="B1242" s="11">
        <f t="shared" si="21"/>
        <v>11.474624850397969</v>
      </c>
    </row>
    <row r="1243" spans="1:2" x14ac:dyDescent="0.3">
      <c r="A1243" s="11">
        <v>59.949999999998902</v>
      </c>
      <c r="B1243" s="11">
        <f t="shared" si="21"/>
        <v>11.436590965027147</v>
      </c>
    </row>
    <row r="1244" spans="1:2" x14ac:dyDescent="0.3">
      <c r="A1244" s="11">
        <v>59.999999999998899</v>
      </c>
      <c r="B1244" s="11">
        <f t="shared" si="21"/>
        <v>11.398714531448883</v>
      </c>
    </row>
    <row r="1245" spans="1:2" x14ac:dyDescent="0.3">
      <c r="A1245" s="11">
        <v>60.049999999998903</v>
      </c>
      <c r="B1245" s="11">
        <f t="shared" si="21"/>
        <v>11.360994768141879</v>
      </c>
    </row>
    <row r="1246" spans="1:2" x14ac:dyDescent="0.3">
      <c r="A1246" s="11">
        <v>60.0999999999989</v>
      </c>
      <c r="B1246" s="11">
        <f t="shared" si="21"/>
        <v>11.323430898106922</v>
      </c>
    </row>
    <row r="1247" spans="1:2" x14ac:dyDescent="0.3">
      <c r="A1247" s="11">
        <v>60.149999999998897</v>
      </c>
      <c r="B1247" s="11">
        <f t="shared" si="21"/>
        <v>11.286022148836555</v>
      </c>
    </row>
    <row r="1248" spans="1:2" x14ac:dyDescent="0.3">
      <c r="A1248" s="11">
        <v>60.199999999998902</v>
      </c>
      <c r="B1248" s="11">
        <f t="shared" si="21"/>
        <v>11.24876775228566</v>
      </c>
    </row>
    <row r="1249" spans="1:2" x14ac:dyDescent="0.3">
      <c r="A1249" s="11">
        <v>60.249999999998899</v>
      </c>
      <c r="B1249" s="11">
        <f t="shared" si="21"/>
        <v>11.211666944842165</v>
      </c>
    </row>
    <row r="1250" spans="1:2" x14ac:dyDescent="0.3">
      <c r="A1250" s="11">
        <v>60.299999999998903</v>
      </c>
      <c r="B1250" s="11">
        <f t="shared" si="21"/>
        <v>11.174718967297499</v>
      </c>
    </row>
    <row r="1251" spans="1:2" x14ac:dyDescent="0.3">
      <c r="A1251" s="11">
        <v>60.3499999999989</v>
      </c>
      <c r="B1251" s="11">
        <f t="shared" si="21"/>
        <v>11.137923064817885</v>
      </c>
    </row>
    <row r="1252" spans="1:2" x14ac:dyDescent="0.3">
      <c r="A1252" s="11">
        <v>60.399999999998897</v>
      </c>
      <c r="B1252" s="11">
        <f t="shared" si="21"/>
        <v>11.101278486915318</v>
      </c>
    </row>
    <row r="1253" spans="1:2" x14ac:dyDescent="0.3">
      <c r="A1253" s="11">
        <v>60.449999999998902</v>
      </c>
      <c r="B1253" s="11">
        <f t="shared" si="21"/>
        <v>11.064784487419164</v>
      </c>
    </row>
    <row r="1254" spans="1:2" x14ac:dyDescent="0.3">
      <c r="A1254" s="11">
        <v>60.499999999998899</v>
      </c>
      <c r="B1254" s="11">
        <f t="shared" si="21"/>
        <v>11.028440324447718</v>
      </c>
    </row>
    <row r="1255" spans="1:2" x14ac:dyDescent="0.3">
      <c r="A1255" s="11">
        <v>60.549999999998903</v>
      </c>
      <c r="B1255" s="11">
        <f t="shared" si="21"/>
        <v>10.99224526038018</v>
      </c>
    </row>
    <row r="1256" spans="1:2" x14ac:dyDescent="0.3">
      <c r="A1256" s="11">
        <v>60.5999999999989</v>
      </c>
      <c r="B1256" s="11">
        <f t="shared" si="21"/>
        <v>10.956198561828442</v>
      </c>
    </row>
    <row r="1257" spans="1:2" x14ac:dyDescent="0.3">
      <c r="A1257" s="11">
        <v>60.649999999998897</v>
      </c>
      <c r="B1257" s="11">
        <f t="shared" si="21"/>
        <v>10.920299499609687</v>
      </c>
    </row>
    <row r="1258" spans="1:2" x14ac:dyDescent="0.3">
      <c r="A1258" s="11">
        <v>60.699999999998902</v>
      </c>
      <c r="B1258" s="11">
        <f t="shared" si="21"/>
        <v>10.884547348718538</v>
      </c>
    </row>
    <row r="1259" spans="1:2" x14ac:dyDescent="0.3">
      <c r="A1259" s="11">
        <v>60.749999999998899</v>
      </c>
      <c r="B1259" s="11">
        <f t="shared" si="21"/>
        <v>10.848941388299945</v>
      </c>
    </row>
    <row r="1260" spans="1:2" x14ac:dyDescent="0.3">
      <c r="A1260" s="11">
        <v>60.799999999998903</v>
      </c>
      <c r="B1260" s="11">
        <f t="shared" si="21"/>
        <v>10.813480901622054</v>
      </c>
    </row>
    <row r="1261" spans="1:2" x14ac:dyDescent="0.3">
      <c r="A1261" s="11">
        <v>60.8499999999989</v>
      </c>
      <c r="B1261" s="11">
        <f t="shared" si="21"/>
        <v>10.77816517604901</v>
      </c>
    </row>
    <row r="1262" spans="1:2" x14ac:dyDescent="0.3">
      <c r="A1262" s="11">
        <v>60.899999999998897</v>
      </c>
      <c r="B1262" s="11">
        <f t="shared" ref="B1262:B1325" si="22">374200000/(A1262^5*(EXP(14390/(A1262*Temperature))-1))</f>
        <v>10.742993503014727</v>
      </c>
    </row>
    <row r="1263" spans="1:2" x14ac:dyDescent="0.3">
      <c r="A1263" s="11">
        <v>60.949999999998902</v>
      </c>
      <c r="B1263" s="11">
        <f t="shared" si="22"/>
        <v>10.707965177995733</v>
      </c>
    </row>
    <row r="1264" spans="1:2" x14ac:dyDescent="0.3">
      <c r="A1264" s="11">
        <v>60.999999999998899</v>
      </c>
      <c r="B1264" s="11">
        <f t="shared" si="22"/>
        <v>10.673079500485324</v>
      </c>
    </row>
    <row r="1265" spans="1:2" x14ac:dyDescent="0.3">
      <c r="A1265" s="11">
        <v>61.049999999998903</v>
      </c>
      <c r="B1265" s="11">
        <f t="shared" si="22"/>
        <v>10.638335773967217</v>
      </c>
    </row>
    <row r="1266" spans="1:2" x14ac:dyDescent="0.3">
      <c r="A1266" s="11">
        <v>61.0999999999989</v>
      </c>
      <c r="B1266" s="11">
        <f t="shared" si="22"/>
        <v>10.603733305889554</v>
      </c>
    </row>
    <row r="1267" spans="1:2" x14ac:dyDescent="0.3">
      <c r="A1267" s="11">
        <v>61.149999999998897</v>
      </c>
      <c r="B1267" s="11">
        <f t="shared" si="22"/>
        <v>10.569271407639354</v>
      </c>
    </row>
    <row r="1268" spans="1:2" x14ac:dyDescent="0.3">
      <c r="A1268" s="11">
        <v>61.199999999998902</v>
      </c>
      <c r="B1268" s="11">
        <f t="shared" si="22"/>
        <v>10.534949394516469</v>
      </c>
    </row>
    <row r="1269" spans="1:2" x14ac:dyDescent="0.3">
      <c r="A1269" s="11">
        <v>61.249999999998899</v>
      </c>
      <c r="B1269" s="11">
        <f t="shared" si="22"/>
        <v>10.500766585708863</v>
      </c>
    </row>
    <row r="1270" spans="1:2" x14ac:dyDescent="0.3">
      <c r="A1270" s="11">
        <v>61.299999999998903</v>
      </c>
      <c r="B1270" s="11">
        <f t="shared" si="22"/>
        <v>10.466722304266685</v>
      </c>
    </row>
    <row r="1271" spans="1:2" x14ac:dyDescent="0.3">
      <c r="A1271" s="11">
        <v>61.3499999999989</v>
      </c>
      <c r="B1271" s="11">
        <f t="shared" si="22"/>
        <v>10.432815877077809</v>
      </c>
    </row>
    <row r="1272" spans="1:2" x14ac:dyDescent="0.3">
      <c r="A1272" s="11">
        <v>61.399999999998897</v>
      </c>
      <c r="B1272" s="11">
        <f t="shared" si="22"/>
        <v>10.399046634842787</v>
      </c>
    </row>
    <row r="1273" spans="1:2" x14ac:dyDescent="0.3">
      <c r="A1273" s="11">
        <v>61.449999999998902</v>
      </c>
      <c r="B1273" s="11">
        <f t="shared" si="22"/>
        <v>10.365413912050029</v>
      </c>
    </row>
    <row r="1274" spans="1:2" x14ac:dyDescent="0.3">
      <c r="A1274" s="11">
        <v>61.499999999998899</v>
      </c>
      <c r="B1274" s="11">
        <f t="shared" si="22"/>
        <v>10.331917046951597</v>
      </c>
    </row>
    <row r="1275" spans="1:2" x14ac:dyDescent="0.3">
      <c r="A1275" s="11">
        <v>61.549999999998903</v>
      </c>
      <c r="B1275" s="11">
        <f t="shared" si="22"/>
        <v>10.298555381538737</v>
      </c>
    </row>
    <row r="1276" spans="1:2" x14ac:dyDescent="0.3">
      <c r="A1276" s="11">
        <v>61.5999999999989</v>
      </c>
      <c r="B1276" s="11">
        <f t="shared" si="22"/>
        <v>10.265328261517835</v>
      </c>
    </row>
    <row r="1277" spans="1:2" x14ac:dyDescent="0.3">
      <c r="A1277" s="11">
        <v>61.649999999998897</v>
      </c>
      <c r="B1277" s="11">
        <f t="shared" si="22"/>
        <v>10.232235036286356</v>
      </c>
    </row>
    <row r="1278" spans="1:2" x14ac:dyDescent="0.3">
      <c r="A1278" s="11">
        <v>61.699999999998902</v>
      </c>
      <c r="B1278" s="11">
        <f t="shared" si="22"/>
        <v>10.199275058909128</v>
      </c>
    </row>
    <row r="1279" spans="1:2" x14ac:dyDescent="0.3">
      <c r="A1279" s="11">
        <v>61.749999999998899</v>
      </c>
      <c r="B1279" s="11">
        <f t="shared" si="22"/>
        <v>10.166447686094768</v>
      </c>
    </row>
    <row r="1280" spans="1:2" x14ac:dyDescent="0.3">
      <c r="A1280" s="11">
        <v>61.799999999998903</v>
      </c>
      <c r="B1280" s="11">
        <f t="shared" si="22"/>
        <v>10.133752278172274</v>
      </c>
    </row>
    <row r="1281" spans="1:2" x14ac:dyDescent="0.3">
      <c r="A1281" s="11">
        <v>61.8499999999989</v>
      </c>
      <c r="B1281" s="11">
        <f t="shared" si="22"/>
        <v>10.101188199067618</v>
      </c>
    </row>
    <row r="1282" spans="1:2" x14ac:dyDescent="0.3">
      <c r="A1282" s="11">
        <v>61.899999999998897</v>
      </c>
      <c r="B1282" s="11">
        <f t="shared" si="22"/>
        <v>10.068754816280743</v>
      </c>
    </row>
    <row r="1283" spans="1:2" x14ac:dyDescent="0.3">
      <c r="A1283" s="11">
        <v>61.949999999998902</v>
      </c>
      <c r="B1283" s="11">
        <f t="shared" si="22"/>
        <v>10.036451500862634</v>
      </c>
    </row>
    <row r="1284" spans="1:2" x14ac:dyDescent="0.3">
      <c r="A1284" s="11">
        <v>61.999999999998899</v>
      </c>
      <c r="B1284" s="11">
        <f t="shared" si="22"/>
        <v>10.004277627392582</v>
      </c>
    </row>
    <row r="1285" spans="1:2" x14ac:dyDescent="0.3">
      <c r="A1285" s="11">
        <v>62.049999999998903</v>
      </c>
      <c r="B1285" s="11">
        <f t="shared" si="22"/>
        <v>9.9722325739554361</v>
      </c>
    </row>
    <row r="1286" spans="1:2" x14ac:dyDescent="0.3">
      <c r="A1286" s="11">
        <v>62.0999999999989</v>
      </c>
      <c r="B1286" s="11">
        <f t="shared" si="22"/>
        <v>9.9403157221193847</v>
      </c>
    </row>
    <row r="1287" spans="1:2" x14ac:dyDescent="0.3">
      <c r="A1287" s="11">
        <v>62.149999999998897</v>
      </c>
      <c r="B1287" s="11">
        <f t="shared" si="22"/>
        <v>9.908526456913485</v>
      </c>
    </row>
    <row r="1288" spans="1:2" x14ac:dyDescent="0.3">
      <c r="A1288" s="11">
        <v>62.199999999998902</v>
      </c>
      <c r="B1288" s="11">
        <f t="shared" si="22"/>
        <v>9.8768641668055892</v>
      </c>
    </row>
    <row r="1289" spans="1:2" x14ac:dyDescent="0.3">
      <c r="A1289" s="11">
        <v>62.249999999998899</v>
      </c>
      <c r="B1289" s="11">
        <f t="shared" si="22"/>
        <v>9.845328243680548</v>
      </c>
    </row>
    <row r="1290" spans="1:2" x14ac:dyDescent="0.3">
      <c r="A1290" s="11">
        <v>62.299999999998903</v>
      </c>
      <c r="B1290" s="11">
        <f t="shared" si="22"/>
        <v>9.813918082818164</v>
      </c>
    </row>
    <row r="1291" spans="1:2" x14ac:dyDescent="0.3">
      <c r="A1291" s="11">
        <v>62.3499999999989</v>
      </c>
      <c r="B1291" s="11">
        <f t="shared" si="22"/>
        <v>9.7826330828716781</v>
      </c>
    </row>
    <row r="1292" spans="1:2" x14ac:dyDescent="0.3">
      <c r="A1292" s="11">
        <v>62.399999999998897</v>
      </c>
      <c r="B1292" s="11">
        <f t="shared" si="22"/>
        <v>9.7514726458462917</v>
      </c>
    </row>
    <row r="1293" spans="1:2" x14ac:dyDescent="0.3">
      <c r="A1293" s="11">
        <v>62.449999999998902</v>
      </c>
      <c r="B1293" s="11">
        <f t="shared" si="22"/>
        <v>9.7204361770778025</v>
      </c>
    </row>
    <row r="1294" spans="1:2" x14ac:dyDescent="0.3">
      <c r="A1294" s="11">
        <v>62.499999999998899</v>
      </c>
      <c r="B1294" s="11">
        <f t="shared" si="22"/>
        <v>9.6895230852113734</v>
      </c>
    </row>
    <row r="1295" spans="1:2" x14ac:dyDescent="0.3">
      <c r="A1295" s="11">
        <v>62.549999999998903</v>
      </c>
      <c r="B1295" s="11">
        <f t="shared" si="22"/>
        <v>9.6587327821806248</v>
      </c>
    </row>
    <row r="1296" spans="1:2" x14ac:dyDescent="0.3">
      <c r="A1296" s="11">
        <v>62.5999999999989</v>
      </c>
      <c r="B1296" s="11">
        <f t="shared" si="22"/>
        <v>9.6280646831866452</v>
      </c>
    </row>
    <row r="1297" spans="1:2" x14ac:dyDescent="0.3">
      <c r="A1297" s="11">
        <v>62.649999999998897</v>
      </c>
      <c r="B1297" s="11">
        <f t="shared" si="22"/>
        <v>9.5975182066772327</v>
      </c>
    </row>
    <row r="1298" spans="1:2" x14ac:dyDescent="0.3">
      <c r="A1298" s="11">
        <v>62.699999999998902</v>
      </c>
      <c r="B1298" s="11">
        <f t="shared" si="22"/>
        <v>9.5670927743264205</v>
      </c>
    </row>
    <row r="1299" spans="1:2" x14ac:dyDescent="0.3">
      <c r="A1299" s="11">
        <v>62.749999999998899</v>
      </c>
      <c r="B1299" s="11">
        <f t="shared" si="22"/>
        <v>9.5367878110140367</v>
      </c>
    </row>
    <row r="1300" spans="1:2" x14ac:dyDescent="0.3">
      <c r="A1300" s="11">
        <v>62.799999999998903</v>
      </c>
      <c r="B1300" s="11">
        <f t="shared" si="22"/>
        <v>9.5066027448053205</v>
      </c>
    </row>
    <row r="1301" spans="1:2" x14ac:dyDescent="0.3">
      <c r="A1301" s="11">
        <v>62.8499999999989</v>
      </c>
      <c r="B1301" s="11">
        <f t="shared" si="22"/>
        <v>9.4765370069307799</v>
      </c>
    </row>
    <row r="1302" spans="1:2" x14ac:dyDescent="0.3">
      <c r="A1302" s="11">
        <v>62.899999999998897</v>
      </c>
      <c r="B1302" s="11">
        <f t="shared" si="22"/>
        <v>9.4465900317662186</v>
      </c>
    </row>
    <row r="1303" spans="1:2" x14ac:dyDescent="0.3">
      <c r="A1303" s="11">
        <v>62.949999999998902</v>
      </c>
      <c r="B1303" s="11">
        <f t="shared" si="22"/>
        <v>9.416761256813011</v>
      </c>
    </row>
    <row r="1304" spans="1:2" x14ac:dyDescent="0.3">
      <c r="A1304" s="11">
        <v>62.999999999998899</v>
      </c>
      <c r="B1304" s="11">
        <f t="shared" si="22"/>
        <v>9.3870501226780583</v>
      </c>
    </row>
    <row r="1305" spans="1:2" x14ac:dyDescent="0.3">
      <c r="A1305" s="11">
        <v>63.049999999998903</v>
      </c>
      <c r="B1305" s="11">
        <f t="shared" si="22"/>
        <v>9.3574560730545997</v>
      </c>
    </row>
    <row r="1306" spans="1:2" x14ac:dyDescent="0.3">
      <c r="A1306" s="11">
        <v>63.0999999999989</v>
      </c>
      <c r="B1306" s="11">
        <f t="shared" si="22"/>
        <v>9.3279785547023639</v>
      </c>
    </row>
    <row r="1307" spans="1:2" x14ac:dyDescent="0.3">
      <c r="A1307" s="11">
        <v>63.149999999998897</v>
      </c>
      <c r="B1307" s="11">
        <f t="shared" si="22"/>
        <v>9.2986170174286347</v>
      </c>
    </row>
    <row r="1308" spans="1:2" x14ac:dyDescent="0.3">
      <c r="A1308" s="11">
        <v>63.199999999998902</v>
      </c>
      <c r="B1308" s="11">
        <f t="shared" si="22"/>
        <v>9.269370914068789</v>
      </c>
    </row>
    <row r="1309" spans="1:2" x14ac:dyDescent="0.3">
      <c r="A1309" s="11">
        <v>63.249999999998899</v>
      </c>
      <c r="B1309" s="11">
        <f t="shared" si="22"/>
        <v>9.2402397004674857</v>
      </c>
    </row>
    <row r="1310" spans="1:2" x14ac:dyDescent="0.3">
      <c r="A1310" s="11">
        <v>63.299999999998903</v>
      </c>
      <c r="B1310" s="11">
        <f t="shared" si="22"/>
        <v>9.2112228354596457</v>
      </c>
    </row>
    <row r="1311" spans="1:2" x14ac:dyDescent="0.3">
      <c r="A1311" s="11">
        <v>63.3499999999989</v>
      </c>
      <c r="B1311" s="11">
        <f t="shared" si="22"/>
        <v>9.1823197808517136</v>
      </c>
    </row>
    <row r="1312" spans="1:2" x14ac:dyDescent="0.3">
      <c r="A1312" s="11">
        <v>63.399999999998897</v>
      </c>
      <c r="B1312" s="11">
        <f t="shared" si="22"/>
        <v>9.1535300014030199</v>
      </c>
    </row>
    <row r="1313" spans="1:2" x14ac:dyDescent="0.3">
      <c r="A1313" s="11">
        <v>63.449999999998902</v>
      </c>
      <c r="B1313" s="11">
        <f t="shared" si="22"/>
        <v>9.1248529648071859</v>
      </c>
    </row>
    <row r="1314" spans="1:2" x14ac:dyDescent="0.3">
      <c r="A1314" s="11">
        <v>63.499999999998899</v>
      </c>
      <c r="B1314" s="11">
        <f t="shared" si="22"/>
        <v>9.096288141674048</v>
      </c>
    </row>
    <row r="1315" spans="1:2" x14ac:dyDescent="0.3">
      <c r="A1315" s="11">
        <v>63.549999999998903</v>
      </c>
      <c r="B1315" s="11">
        <f t="shared" si="22"/>
        <v>9.0678350055111281</v>
      </c>
    </row>
    <row r="1316" spans="1:2" x14ac:dyDescent="0.3">
      <c r="A1316" s="11">
        <v>63.5999999999989</v>
      </c>
      <c r="B1316" s="11">
        <f t="shared" si="22"/>
        <v>9.0394930327055363</v>
      </c>
    </row>
    <row r="1317" spans="1:2" x14ac:dyDescent="0.3">
      <c r="A1317" s="11">
        <v>63.649999999998897</v>
      </c>
      <c r="B1317" s="11">
        <f t="shared" si="22"/>
        <v>9.0112617025061077</v>
      </c>
    </row>
    <row r="1318" spans="1:2" x14ac:dyDescent="0.3">
      <c r="A1318" s="11">
        <v>63.699999999998902</v>
      </c>
      <c r="B1318" s="11">
        <f t="shared" si="22"/>
        <v>8.9831404970055928</v>
      </c>
    </row>
    <row r="1319" spans="1:2" x14ac:dyDescent="0.3">
      <c r="A1319" s="11">
        <v>63.749999999998899</v>
      </c>
      <c r="B1319" s="11">
        <f t="shared" si="22"/>
        <v>8.9551289011226824</v>
      </c>
    </row>
    <row r="1320" spans="1:2" x14ac:dyDescent="0.3">
      <c r="A1320" s="11">
        <v>63.799999999998903</v>
      </c>
      <c r="B1320" s="11">
        <f t="shared" si="22"/>
        <v>8.927226402584667</v>
      </c>
    </row>
    <row r="1321" spans="1:2" x14ac:dyDescent="0.3">
      <c r="A1321" s="11">
        <v>63.8499999999989</v>
      </c>
      <c r="B1321" s="11">
        <f t="shared" si="22"/>
        <v>8.8994324919096783</v>
      </c>
    </row>
    <row r="1322" spans="1:2" x14ac:dyDescent="0.3">
      <c r="A1322" s="11">
        <v>63.899999999998897</v>
      </c>
      <c r="B1322" s="11">
        <f t="shared" si="22"/>
        <v>8.8717466623895493</v>
      </c>
    </row>
    <row r="1323" spans="1:2" x14ac:dyDescent="0.3">
      <c r="A1323" s="11">
        <v>63.949999999998902</v>
      </c>
      <c r="B1323" s="11">
        <f t="shared" si="22"/>
        <v>8.844168410072534</v>
      </c>
    </row>
    <row r="1324" spans="1:2" x14ac:dyDescent="0.3">
      <c r="A1324" s="11">
        <v>63.999999999998899</v>
      </c>
      <c r="B1324" s="11">
        <f t="shared" si="22"/>
        <v>8.8166972337460994</v>
      </c>
    </row>
    <row r="1325" spans="1:2" x14ac:dyDescent="0.3">
      <c r="A1325" s="11">
        <v>64.049999999998803</v>
      </c>
      <c r="B1325" s="11">
        <f t="shared" si="22"/>
        <v>8.7893326349200294</v>
      </c>
    </row>
    <row r="1326" spans="1:2" x14ac:dyDescent="0.3">
      <c r="A1326" s="11">
        <v>64.099999999998801</v>
      </c>
      <c r="B1326" s="11">
        <f t="shared" ref="B1326:B1389" si="23">374200000/(A1326^5*(EXP(14390/(A1326*Temperature))-1))</f>
        <v>8.7620741178091901</v>
      </c>
    </row>
    <row r="1327" spans="1:2" x14ac:dyDescent="0.3">
      <c r="A1327" s="11">
        <v>64.149999999998798</v>
      </c>
      <c r="B1327" s="11">
        <f t="shared" si="23"/>
        <v>8.7349211893174523</v>
      </c>
    </row>
    <row r="1328" spans="1:2" x14ac:dyDescent="0.3">
      <c r="A1328" s="11">
        <v>64.199999999998795</v>
      </c>
      <c r="B1328" s="11">
        <f t="shared" si="23"/>
        <v>8.7078733590203807</v>
      </c>
    </row>
    <row r="1329" spans="1:2" x14ac:dyDescent="0.3">
      <c r="A1329" s="11">
        <v>64.249999999998806</v>
      </c>
      <c r="B1329" s="11">
        <f t="shared" si="23"/>
        <v>8.680930139149023</v>
      </c>
    </row>
    <row r="1330" spans="1:2" x14ac:dyDescent="0.3">
      <c r="A1330" s="11">
        <v>64.299999999998803</v>
      </c>
      <c r="B1330" s="11">
        <f t="shared" si="23"/>
        <v>8.6540910445734944</v>
      </c>
    </row>
    <row r="1331" spans="1:2" x14ac:dyDescent="0.3">
      <c r="A1331" s="11">
        <v>64.349999999998801</v>
      </c>
      <c r="B1331" s="11">
        <f t="shared" si="23"/>
        <v>8.6273555927864738</v>
      </c>
    </row>
    <row r="1332" spans="1:2" x14ac:dyDescent="0.3">
      <c r="A1332" s="11">
        <v>64.399999999998798</v>
      </c>
      <c r="B1332" s="11">
        <f t="shared" si="23"/>
        <v>8.6007233038872801</v>
      </c>
    </row>
    <row r="1333" spans="1:2" x14ac:dyDescent="0.3">
      <c r="A1333" s="11">
        <v>64.449999999998795</v>
      </c>
      <c r="B1333" s="11">
        <f t="shared" si="23"/>
        <v>8.5741937005655089</v>
      </c>
    </row>
    <row r="1334" spans="1:2" x14ac:dyDescent="0.3">
      <c r="A1334" s="11">
        <v>64.499999999998806</v>
      </c>
      <c r="B1334" s="11">
        <f t="shared" si="23"/>
        <v>8.5477663080852722</v>
      </c>
    </row>
    <row r="1335" spans="1:2" x14ac:dyDescent="0.3">
      <c r="A1335" s="11">
        <v>64.549999999998803</v>
      </c>
      <c r="B1335" s="11">
        <f t="shared" si="23"/>
        <v>8.521440654269421</v>
      </c>
    </row>
    <row r="1336" spans="1:2" x14ac:dyDescent="0.3">
      <c r="A1336" s="11">
        <v>64.599999999998801</v>
      </c>
      <c r="B1336" s="11">
        <f t="shared" si="23"/>
        <v>8.495216269483393</v>
      </c>
    </row>
    <row r="1337" spans="1:2" x14ac:dyDescent="0.3">
      <c r="A1337" s="11">
        <v>64.649999999998798</v>
      </c>
      <c r="B1337" s="11">
        <f t="shared" si="23"/>
        <v>8.4690926866200886</v>
      </c>
    </row>
    <row r="1338" spans="1:2" x14ac:dyDescent="0.3">
      <c r="A1338" s="11">
        <v>64.699999999998795</v>
      </c>
      <c r="B1338" s="11">
        <f t="shared" si="23"/>
        <v>8.4430694410838747</v>
      </c>
    </row>
    <row r="1339" spans="1:2" x14ac:dyDescent="0.3">
      <c r="A1339" s="11">
        <v>64.749999999998806</v>
      </c>
      <c r="B1339" s="11">
        <f t="shared" si="23"/>
        <v>8.4171460707755514</v>
      </c>
    </row>
    <row r="1340" spans="1:2" x14ac:dyDescent="0.3">
      <c r="A1340" s="11">
        <v>64.799999999998803</v>
      </c>
      <c r="B1340" s="11">
        <f t="shared" si="23"/>
        <v>8.3913221160767826</v>
      </c>
    </row>
    <row r="1341" spans="1:2" x14ac:dyDescent="0.3">
      <c r="A1341" s="11">
        <v>64.849999999998801</v>
      </c>
      <c r="B1341" s="11">
        <f t="shared" si="23"/>
        <v>8.3655971198349022</v>
      </c>
    </row>
    <row r="1342" spans="1:2" x14ac:dyDescent="0.3">
      <c r="A1342" s="11">
        <v>64.899999999998798</v>
      </c>
      <c r="B1342" s="11">
        <f t="shared" si="23"/>
        <v>8.3399706273480501</v>
      </c>
    </row>
    <row r="1343" spans="1:2" x14ac:dyDescent="0.3">
      <c r="A1343" s="11">
        <v>64.949999999998795</v>
      </c>
      <c r="B1343" s="11">
        <f t="shared" si="23"/>
        <v>8.3144421863498312</v>
      </c>
    </row>
    <row r="1344" spans="1:2" x14ac:dyDescent="0.3">
      <c r="A1344" s="11">
        <v>64.999999999998806</v>
      </c>
      <c r="B1344" s="11">
        <f t="shared" si="23"/>
        <v>8.2890113469946272</v>
      </c>
    </row>
    <row r="1345" spans="1:2" x14ac:dyDescent="0.3">
      <c r="A1345" s="11">
        <v>65.049999999998803</v>
      </c>
      <c r="B1345" s="11">
        <f t="shared" si="23"/>
        <v>8.2636776618427685</v>
      </c>
    </row>
    <row r="1346" spans="1:2" x14ac:dyDescent="0.3">
      <c r="A1346" s="11">
        <v>65.099999999998801</v>
      </c>
      <c r="B1346" s="11">
        <f t="shared" si="23"/>
        <v>8.2384406858457879</v>
      </c>
    </row>
    <row r="1347" spans="1:2" x14ac:dyDescent="0.3">
      <c r="A1347" s="11">
        <v>65.149999999998798</v>
      </c>
      <c r="B1347" s="11">
        <f t="shared" si="23"/>
        <v>8.2132999763318395</v>
      </c>
    </row>
    <row r="1348" spans="1:2" x14ac:dyDescent="0.3">
      <c r="A1348" s="11">
        <v>65.199999999998795</v>
      </c>
      <c r="B1348" s="11">
        <f t="shared" si="23"/>
        <v>8.1882550929912927</v>
      </c>
    </row>
    <row r="1349" spans="1:2" x14ac:dyDescent="0.3">
      <c r="A1349" s="11">
        <v>65.249999999998806</v>
      </c>
      <c r="B1349" s="11">
        <f t="shared" si="23"/>
        <v>8.1633055978622142</v>
      </c>
    </row>
    <row r="1350" spans="1:2" x14ac:dyDescent="0.3">
      <c r="A1350" s="11">
        <v>65.299999999998803</v>
      </c>
      <c r="B1350" s="11">
        <f t="shared" si="23"/>
        <v>8.1384510553161693</v>
      </c>
    </row>
    <row r="1351" spans="1:2" x14ac:dyDescent="0.3">
      <c r="A1351" s="11">
        <v>65.349999999998801</v>
      </c>
      <c r="B1351" s="11">
        <f t="shared" si="23"/>
        <v>8.1136910320439544</v>
      </c>
    </row>
    <row r="1352" spans="1:2" x14ac:dyDescent="0.3">
      <c r="A1352" s="11">
        <v>65.399999999998798</v>
      </c>
      <c r="B1352" s="11">
        <f t="shared" si="23"/>
        <v>8.0890250970415654</v>
      </c>
    </row>
    <row r="1353" spans="1:2" x14ac:dyDescent="0.3">
      <c r="A1353" s="11">
        <v>65.449999999998795</v>
      </c>
      <c r="B1353" s="11">
        <f t="shared" si="23"/>
        <v>8.0644528215960634</v>
      </c>
    </row>
    <row r="1354" spans="1:2" x14ac:dyDescent="0.3">
      <c r="A1354" s="11">
        <v>65.499999999998806</v>
      </c>
      <c r="B1354" s="11">
        <f t="shared" si="23"/>
        <v>8.039973779271838</v>
      </c>
    </row>
    <row r="1355" spans="1:2" x14ac:dyDescent="0.3">
      <c r="A1355" s="11">
        <v>65.549999999998803</v>
      </c>
      <c r="B1355" s="11">
        <f t="shared" si="23"/>
        <v>8.015587545896679</v>
      </c>
    </row>
    <row r="1356" spans="1:2" x14ac:dyDescent="0.3">
      <c r="A1356" s="11">
        <v>65.599999999998801</v>
      </c>
      <c r="B1356" s="11">
        <f t="shared" si="23"/>
        <v>7.991293699548109</v>
      </c>
    </row>
    <row r="1357" spans="1:2" x14ac:dyDescent="0.3">
      <c r="A1357" s="11">
        <v>65.649999999998798</v>
      </c>
      <c r="B1357" s="11">
        <f t="shared" si="23"/>
        <v>7.9670918205397463</v>
      </c>
    </row>
    <row r="1358" spans="1:2" x14ac:dyDescent="0.3">
      <c r="A1358" s="11">
        <v>65.699999999998795</v>
      </c>
      <c r="B1358" s="11">
        <f t="shared" si="23"/>
        <v>7.9429814914076813</v>
      </c>
    </row>
    <row r="1359" spans="1:2" x14ac:dyDescent="0.3">
      <c r="A1359" s="11">
        <v>65.749999999998806</v>
      </c>
      <c r="B1359" s="11">
        <f t="shared" si="23"/>
        <v>7.9189622968972113</v>
      </c>
    </row>
    <row r="1360" spans="1:2" x14ac:dyDescent="0.3">
      <c r="A1360" s="11">
        <v>65.799999999998803</v>
      </c>
      <c r="B1360" s="11">
        <f t="shared" si="23"/>
        <v>7.8950338239493831</v>
      </c>
    </row>
    <row r="1361" spans="1:2" x14ac:dyDescent="0.3">
      <c r="A1361" s="11">
        <v>65.849999999998801</v>
      </c>
      <c r="B1361" s="11">
        <f t="shared" si="23"/>
        <v>7.8711956616877297</v>
      </c>
    </row>
    <row r="1362" spans="1:2" x14ac:dyDescent="0.3">
      <c r="A1362" s="11">
        <v>65.899999999998798</v>
      </c>
      <c r="B1362" s="11">
        <f t="shared" si="23"/>
        <v>7.8474474014050406</v>
      </c>
    </row>
    <row r="1363" spans="1:2" x14ac:dyDescent="0.3">
      <c r="A1363" s="11">
        <v>65.949999999998795</v>
      </c>
      <c r="B1363" s="11">
        <f t="shared" si="23"/>
        <v>7.8237886365505256</v>
      </c>
    </row>
    <row r="1364" spans="1:2" x14ac:dyDescent="0.3">
      <c r="A1364" s="11">
        <v>65.999999999998806</v>
      </c>
      <c r="B1364" s="11">
        <f t="shared" si="23"/>
        <v>7.8002189627164693</v>
      </c>
    </row>
    <row r="1365" spans="1:2" x14ac:dyDescent="0.3">
      <c r="A1365" s="11">
        <v>66.049999999998803</v>
      </c>
      <c r="B1365" s="11">
        <f t="shared" si="23"/>
        <v>7.7767379776257135</v>
      </c>
    </row>
    <row r="1366" spans="1:2" x14ac:dyDescent="0.3">
      <c r="A1366" s="11">
        <v>66.099999999998801</v>
      </c>
      <c r="B1366" s="11">
        <f t="shared" si="23"/>
        <v>7.7533452811184711</v>
      </c>
    </row>
    <row r="1367" spans="1:2" x14ac:dyDescent="0.3">
      <c r="A1367" s="11">
        <v>66.149999999998798</v>
      </c>
      <c r="B1367" s="11">
        <f t="shared" si="23"/>
        <v>7.7300404751398926</v>
      </c>
    </row>
    <row r="1368" spans="1:2" x14ac:dyDescent="0.3">
      <c r="A1368" s="11">
        <v>66.199999999998795</v>
      </c>
      <c r="B1368" s="11">
        <f t="shared" si="23"/>
        <v>7.7068231637271891</v>
      </c>
    </row>
    <row r="1369" spans="1:2" x14ac:dyDescent="0.3">
      <c r="A1369" s="11">
        <v>66.249999999998806</v>
      </c>
      <c r="B1369" s="11">
        <f t="shared" si="23"/>
        <v>7.6836929529973172</v>
      </c>
    </row>
    <row r="1370" spans="1:2" x14ac:dyDescent="0.3">
      <c r="A1370" s="11">
        <v>66.299999999998803</v>
      </c>
      <c r="B1370" s="11">
        <f t="shared" si="23"/>
        <v>7.6606494511342369</v>
      </c>
    </row>
    <row r="1371" spans="1:2" x14ac:dyDescent="0.3">
      <c r="A1371" s="11">
        <v>66.349999999998801</v>
      </c>
      <c r="B1371" s="11">
        <f t="shared" si="23"/>
        <v>7.6376922683767745</v>
      </c>
    </row>
    <row r="1372" spans="1:2" x14ac:dyDescent="0.3">
      <c r="A1372" s="11">
        <v>66.399999999998798</v>
      </c>
      <c r="B1372" s="11">
        <f t="shared" si="23"/>
        <v>7.6148210170061832</v>
      </c>
    </row>
    <row r="1373" spans="1:2" x14ac:dyDescent="0.3">
      <c r="A1373" s="11">
        <v>66.449999999998795</v>
      </c>
      <c r="B1373" s="11">
        <f t="shared" si="23"/>
        <v>7.5920353113338397</v>
      </c>
    </row>
    <row r="1374" spans="1:2" x14ac:dyDescent="0.3">
      <c r="A1374" s="11">
        <v>66.499999999998806</v>
      </c>
      <c r="B1374" s="11">
        <f t="shared" si="23"/>
        <v>7.5693347676892726</v>
      </c>
    </row>
    <row r="1375" spans="1:2" x14ac:dyDescent="0.3">
      <c r="A1375" s="11">
        <v>66.549999999998803</v>
      </c>
      <c r="B1375" s="11">
        <f t="shared" si="23"/>
        <v>7.5467190044081303</v>
      </c>
    </row>
    <row r="1376" spans="1:2" x14ac:dyDescent="0.3">
      <c r="A1376" s="11">
        <v>66.599999999998801</v>
      </c>
      <c r="B1376" s="11">
        <f t="shared" si="23"/>
        <v>7.5241876418199549</v>
      </c>
    </row>
    <row r="1377" spans="1:2" x14ac:dyDescent="0.3">
      <c r="A1377" s="11">
        <v>66.649999999998798</v>
      </c>
      <c r="B1377" s="11">
        <f t="shared" si="23"/>
        <v>7.5017403022364775</v>
      </c>
    </row>
    <row r="1378" spans="1:2" x14ac:dyDescent="0.3">
      <c r="A1378" s="11">
        <v>66.699999999998795</v>
      </c>
      <c r="B1378" s="11">
        <f t="shared" si="23"/>
        <v>7.4793766099398482</v>
      </c>
    </row>
    <row r="1379" spans="1:2" x14ac:dyDescent="0.3">
      <c r="A1379" s="11">
        <v>66.749999999998806</v>
      </c>
      <c r="B1379" s="11">
        <f t="shared" si="23"/>
        <v>7.4570961911706934</v>
      </c>
    </row>
    <row r="1380" spans="1:2" x14ac:dyDescent="0.3">
      <c r="A1380" s="11">
        <v>66.799999999998803</v>
      </c>
      <c r="B1380" s="11">
        <f t="shared" si="23"/>
        <v>7.4348986741166829</v>
      </c>
    </row>
    <row r="1381" spans="1:2" x14ac:dyDescent="0.3">
      <c r="A1381" s="11">
        <v>66.849999999998801</v>
      </c>
      <c r="B1381" s="11">
        <f t="shared" si="23"/>
        <v>7.4127836889007659</v>
      </c>
    </row>
    <row r="1382" spans="1:2" x14ac:dyDescent="0.3">
      <c r="A1382" s="11">
        <v>66.899999999998798</v>
      </c>
      <c r="B1382" s="11">
        <f t="shared" si="23"/>
        <v>7.3907508675697295</v>
      </c>
    </row>
    <row r="1383" spans="1:2" x14ac:dyDescent="0.3">
      <c r="A1383" s="11">
        <v>66.949999999998795</v>
      </c>
      <c r="B1383" s="11">
        <f t="shared" si="23"/>
        <v>7.3687998440827869</v>
      </c>
    </row>
    <row r="1384" spans="1:2" x14ac:dyDescent="0.3">
      <c r="A1384" s="11">
        <v>66.999999999998806</v>
      </c>
      <c r="B1384" s="11">
        <f t="shared" si="23"/>
        <v>7.346930254300311</v>
      </c>
    </row>
    <row r="1385" spans="1:2" x14ac:dyDescent="0.3">
      <c r="A1385" s="11">
        <v>67.049999999998803</v>
      </c>
      <c r="B1385" s="11">
        <f t="shared" si="23"/>
        <v>7.3251417359723474</v>
      </c>
    </row>
    <row r="1386" spans="1:2" x14ac:dyDescent="0.3">
      <c r="A1386" s="11">
        <v>67.099999999998801</v>
      </c>
      <c r="B1386" s="11">
        <f t="shared" si="23"/>
        <v>7.3034339287275865</v>
      </c>
    </row>
    <row r="1387" spans="1:2" x14ac:dyDescent="0.3">
      <c r="A1387" s="11">
        <v>67.149999999998798</v>
      </c>
      <c r="B1387" s="11">
        <f t="shared" si="23"/>
        <v>7.2818064740622201</v>
      </c>
    </row>
    <row r="1388" spans="1:2" x14ac:dyDescent="0.3">
      <c r="A1388" s="11">
        <v>67.199999999998795</v>
      </c>
      <c r="B1388" s="11">
        <f t="shared" si="23"/>
        <v>7.2602590153288222</v>
      </c>
    </row>
    <row r="1389" spans="1:2" x14ac:dyDescent="0.3">
      <c r="A1389" s="11">
        <v>67.249999999998806</v>
      </c>
      <c r="B1389" s="11">
        <f t="shared" si="23"/>
        <v>7.2387911977253356</v>
      </c>
    </row>
    <row r="1390" spans="1:2" x14ac:dyDescent="0.3">
      <c r="A1390" s="11">
        <v>67.299999999998803</v>
      </c>
      <c r="B1390" s="11">
        <f t="shared" ref="B1390:B1453" si="24">374200000/(A1390^5*(EXP(14390/(A1390*Temperature))-1))</f>
        <v>7.2174026682844206</v>
      </c>
    </row>
    <row r="1391" spans="1:2" x14ac:dyDescent="0.3">
      <c r="A1391" s="11">
        <v>67.349999999998801</v>
      </c>
      <c r="B1391" s="11">
        <f t="shared" si="24"/>
        <v>7.1960930758622226</v>
      </c>
    </row>
    <row r="1392" spans="1:2" x14ac:dyDescent="0.3">
      <c r="A1392" s="11">
        <v>67.399999999998798</v>
      </c>
      <c r="B1392" s="11">
        <f t="shared" si="24"/>
        <v>7.1748620711279552</v>
      </c>
    </row>
    <row r="1393" spans="1:2" x14ac:dyDescent="0.3">
      <c r="A1393" s="11">
        <v>67.449999999998795</v>
      </c>
      <c r="B1393" s="11">
        <f t="shared" si="24"/>
        <v>7.1537093065530941</v>
      </c>
    </row>
    <row r="1394" spans="1:2" x14ac:dyDescent="0.3">
      <c r="A1394" s="11">
        <v>67.499999999998806</v>
      </c>
      <c r="B1394" s="11">
        <f t="shared" si="24"/>
        <v>7.1326344364006928</v>
      </c>
    </row>
    <row r="1395" spans="1:2" x14ac:dyDescent="0.3">
      <c r="A1395" s="11">
        <v>67.549999999998803</v>
      </c>
      <c r="B1395" s="11">
        <f t="shared" si="24"/>
        <v>7.1116371167148742</v>
      </c>
    </row>
    <row r="1396" spans="1:2" x14ac:dyDescent="0.3">
      <c r="A1396" s="11">
        <v>67.599999999998801</v>
      </c>
      <c r="B1396" s="11">
        <f t="shared" si="24"/>
        <v>7.0907170053103972</v>
      </c>
    </row>
    <row r="1397" spans="1:2" x14ac:dyDescent="0.3">
      <c r="A1397" s="11">
        <v>67.649999999998798</v>
      </c>
      <c r="B1397" s="11">
        <f t="shared" si="24"/>
        <v>7.0698737617623086</v>
      </c>
    </row>
    <row r="1398" spans="1:2" x14ac:dyDescent="0.3">
      <c r="A1398" s="11">
        <v>67.699999999998795</v>
      </c>
      <c r="B1398" s="11">
        <f t="shared" si="24"/>
        <v>7.0491070473952808</v>
      </c>
    </row>
    <row r="1399" spans="1:2" x14ac:dyDescent="0.3">
      <c r="A1399" s="11">
        <v>67.749999999998806</v>
      </c>
      <c r="B1399" s="11">
        <f t="shared" si="24"/>
        <v>7.0284165252738315</v>
      </c>
    </row>
    <row r="1400" spans="1:2" x14ac:dyDescent="0.3">
      <c r="A1400" s="11">
        <v>67.799999999998803</v>
      </c>
      <c r="B1400" s="11">
        <f t="shared" si="24"/>
        <v>7.0078018601916918</v>
      </c>
    </row>
    <row r="1401" spans="1:2" x14ac:dyDescent="0.3">
      <c r="A1401" s="11">
        <v>67.849999999998801</v>
      </c>
      <c r="B1401" s="11">
        <f t="shared" si="24"/>
        <v>6.9872627186618805</v>
      </c>
    </row>
    <row r="1402" spans="1:2" x14ac:dyDescent="0.3">
      <c r="A1402" s="11">
        <v>67.899999999998798</v>
      </c>
      <c r="B1402" s="11">
        <f t="shared" si="24"/>
        <v>6.9667987689066102</v>
      </c>
    </row>
    <row r="1403" spans="1:2" x14ac:dyDescent="0.3">
      <c r="A1403" s="11">
        <v>67.949999999998795</v>
      </c>
      <c r="B1403" s="11">
        <f t="shared" si="24"/>
        <v>6.9464096808472506</v>
      </c>
    </row>
    <row r="1404" spans="1:2" x14ac:dyDescent="0.3">
      <c r="A1404" s="11">
        <v>67.999999999998806</v>
      </c>
      <c r="B1404" s="11">
        <f t="shared" si="24"/>
        <v>6.9260951260943333</v>
      </c>
    </row>
    <row r="1405" spans="1:2" x14ac:dyDescent="0.3">
      <c r="A1405" s="11">
        <v>68.049999999998803</v>
      </c>
      <c r="B1405" s="11">
        <f t="shared" si="24"/>
        <v>6.9058547779379218</v>
      </c>
    </row>
    <row r="1406" spans="1:2" x14ac:dyDescent="0.3">
      <c r="A1406" s="11">
        <v>68.099999999998801</v>
      </c>
      <c r="B1406" s="11">
        <f t="shared" si="24"/>
        <v>6.8856883113374652</v>
      </c>
    </row>
    <row r="1407" spans="1:2" x14ac:dyDescent="0.3">
      <c r="A1407" s="11">
        <v>68.149999999998798</v>
      </c>
      <c r="B1407" s="11">
        <f t="shared" si="24"/>
        <v>6.8655954029122928</v>
      </c>
    </row>
    <row r="1408" spans="1:2" x14ac:dyDescent="0.3">
      <c r="A1408" s="11">
        <v>68.199999999998795</v>
      </c>
      <c r="B1408" s="11">
        <f t="shared" si="24"/>
        <v>6.8455757309318246</v>
      </c>
    </row>
    <row r="1409" spans="1:2" x14ac:dyDescent="0.3">
      <c r="A1409" s="11">
        <v>68.249999999998806</v>
      </c>
      <c r="B1409" s="11">
        <f t="shared" si="24"/>
        <v>6.8256289753060697</v>
      </c>
    </row>
    <row r="1410" spans="1:2" x14ac:dyDescent="0.3">
      <c r="A1410" s="11">
        <v>68.299999999998803</v>
      </c>
      <c r="B1410" s="11">
        <f t="shared" si="24"/>
        <v>6.80575481757589</v>
      </c>
    </row>
    <row r="1411" spans="1:2" x14ac:dyDescent="0.3">
      <c r="A1411" s="11">
        <v>68.349999999998801</v>
      </c>
      <c r="B1411" s="11">
        <f t="shared" si="24"/>
        <v>6.785952940903746</v>
      </c>
    </row>
    <row r="1412" spans="1:2" x14ac:dyDescent="0.3">
      <c r="A1412" s="11">
        <v>68.399999999998798</v>
      </c>
      <c r="B1412" s="11">
        <f t="shared" si="24"/>
        <v>6.7662230300640127</v>
      </c>
    </row>
    <row r="1413" spans="1:2" x14ac:dyDescent="0.3">
      <c r="A1413" s="11">
        <v>68.449999999998795</v>
      </c>
      <c r="B1413" s="11">
        <f t="shared" si="24"/>
        <v>6.7465647714338015</v>
      </c>
    </row>
    <row r="1414" spans="1:2" x14ac:dyDescent="0.3">
      <c r="A1414" s="11">
        <v>68.499999999998806</v>
      </c>
      <c r="B1414" s="11">
        <f t="shared" si="24"/>
        <v>6.7269778529835591</v>
      </c>
    </row>
    <row r="1415" spans="1:2" x14ac:dyDescent="0.3">
      <c r="A1415" s="11">
        <v>68.549999999998704</v>
      </c>
      <c r="B1415" s="11">
        <f t="shared" si="24"/>
        <v>6.7074619642680284</v>
      </c>
    </row>
    <row r="1416" spans="1:2" x14ac:dyDescent="0.3">
      <c r="A1416" s="11">
        <v>68.599999999998801</v>
      </c>
      <c r="B1416" s="11">
        <f t="shared" si="24"/>
        <v>6.6880167964164983</v>
      </c>
    </row>
    <row r="1417" spans="1:2" x14ac:dyDescent="0.3">
      <c r="A1417" s="11">
        <v>68.649999999998798</v>
      </c>
      <c r="B1417" s="11">
        <f t="shared" si="24"/>
        <v>6.6686420421245334</v>
      </c>
    </row>
    <row r="1418" spans="1:2" x14ac:dyDescent="0.3">
      <c r="A1418" s="11">
        <v>68.699999999998695</v>
      </c>
      <c r="B1418" s="11">
        <f t="shared" si="24"/>
        <v>6.6493373956442081</v>
      </c>
    </row>
    <row r="1419" spans="1:2" x14ac:dyDescent="0.3">
      <c r="A1419" s="11">
        <v>68.749999999998806</v>
      </c>
      <c r="B1419" s="11">
        <f t="shared" si="24"/>
        <v>6.6301025527751989</v>
      </c>
    </row>
    <row r="1420" spans="1:2" x14ac:dyDescent="0.3">
      <c r="A1420" s="11">
        <v>68.799999999998704</v>
      </c>
      <c r="B1420" s="11">
        <f t="shared" si="24"/>
        <v>6.6109372108563722</v>
      </c>
    </row>
    <row r="1421" spans="1:2" x14ac:dyDescent="0.3">
      <c r="A1421" s="11">
        <v>68.849999999998701</v>
      </c>
      <c r="B1421" s="11">
        <f t="shared" si="24"/>
        <v>6.5918410687561435</v>
      </c>
    </row>
    <row r="1422" spans="1:2" x14ac:dyDescent="0.3">
      <c r="A1422" s="11">
        <v>68.899999999998698</v>
      </c>
      <c r="B1422" s="11">
        <f t="shared" si="24"/>
        <v>6.5728138268641674</v>
      </c>
    </row>
    <row r="1423" spans="1:2" x14ac:dyDescent="0.3">
      <c r="A1423" s="11">
        <v>68.949999999998695</v>
      </c>
      <c r="B1423" s="11">
        <f t="shared" si="24"/>
        <v>6.5538551870823367</v>
      </c>
    </row>
    <row r="1424" spans="1:2" x14ac:dyDescent="0.3">
      <c r="A1424" s="11">
        <v>68.999999999998707</v>
      </c>
      <c r="B1424" s="11">
        <f t="shared" si="24"/>
        <v>6.5349648528161906</v>
      </c>
    </row>
    <row r="1425" spans="1:2" x14ac:dyDescent="0.3">
      <c r="A1425" s="11">
        <v>69.049999999998704</v>
      </c>
      <c r="B1425" s="11">
        <f t="shared" si="24"/>
        <v>6.5161425289661379</v>
      </c>
    </row>
    <row r="1426" spans="1:2" x14ac:dyDescent="0.3">
      <c r="A1426" s="11">
        <v>69.099999999998701</v>
      </c>
      <c r="B1426" s="11">
        <f t="shared" si="24"/>
        <v>6.4973879219189774</v>
      </c>
    </row>
    <row r="1427" spans="1:2" x14ac:dyDescent="0.3">
      <c r="A1427" s="11">
        <v>69.149999999998698</v>
      </c>
      <c r="B1427" s="11">
        <f t="shared" si="24"/>
        <v>6.4787007395391267</v>
      </c>
    </row>
    <row r="1428" spans="1:2" x14ac:dyDescent="0.3">
      <c r="A1428" s="11">
        <v>69.199999999998695</v>
      </c>
      <c r="B1428" s="11">
        <f t="shared" si="24"/>
        <v>6.4600806911604387</v>
      </c>
    </row>
    <row r="1429" spans="1:2" x14ac:dyDescent="0.3">
      <c r="A1429" s="11">
        <v>69.249999999998707</v>
      </c>
      <c r="B1429" s="11">
        <f t="shared" si="24"/>
        <v>6.441527487577531</v>
      </c>
    </row>
    <row r="1430" spans="1:2" x14ac:dyDescent="0.3">
      <c r="A1430" s="11">
        <v>69.299999999998704</v>
      </c>
      <c r="B1430" s="11">
        <f t="shared" si="24"/>
        <v>6.4230408410374293</v>
      </c>
    </row>
    <row r="1431" spans="1:2" x14ac:dyDescent="0.3">
      <c r="A1431" s="11">
        <v>69.349999999998701</v>
      </c>
      <c r="B1431" s="11">
        <f t="shared" si="24"/>
        <v>6.4046204652313463</v>
      </c>
    </row>
    <row r="1432" spans="1:2" x14ac:dyDescent="0.3">
      <c r="A1432" s="11">
        <v>69.399999999998698</v>
      </c>
      <c r="B1432" s="11">
        <f t="shared" si="24"/>
        <v>6.3862660752863318</v>
      </c>
    </row>
    <row r="1433" spans="1:2" x14ac:dyDescent="0.3">
      <c r="A1433" s="11">
        <v>69.449999999998695</v>
      </c>
      <c r="B1433" s="11">
        <f t="shared" si="24"/>
        <v>6.3679773877570112</v>
      </c>
    </row>
    <row r="1434" spans="1:2" x14ac:dyDescent="0.3">
      <c r="A1434" s="11">
        <v>69.499999999998707</v>
      </c>
      <c r="B1434" s="11">
        <f t="shared" si="24"/>
        <v>6.3497541206174697</v>
      </c>
    </row>
    <row r="1435" spans="1:2" x14ac:dyDescent="0.3">
      <c r="A1435" s="11">
        <v>69.549999999998704</v>
      </c>
      <c r="B1435" s="11">
        <f t="shared" si="24"/>
        <v>6.3315959932531545</v>
      </c>
    </row>
    <row r="1436" spans="1:2" x14ac:dyDescent="0.3">
      <c r="A1436" s="11">
        <v>69.599999999998701</v>
      </c>
      <c r="B1436" s="11">
        <f t="shared" si="24"/>
        <v>6.3135027264527706</v>
      </c>
    </row>
    <row r="1437" spans="1:2" x14ac:dyDescent="0.3">
      <c r="A1437" s="11">
        <v>69.649999999998698</v>
      </c>
      <c r="B1437" s="11">
        <f t="shared" si="24"/>
        <v>6.2954740424002047</v>
      </c>
    </row>
    <row r="1438" spans="1:2" x14ac:dyDescent="0.3">
      <c r="A1438" s="11">
        <v>69.699999999998695</v>
      </c>
      <c r="B1438" s="11">
        <f t="shared" si="24"/>
        <v>6.2775096646667876</v>
      </c>
    </row>
    <row r="1439" spans="1:2" x14ac:dyDescent="0.3">
      <c r="A1439" s="11">
        <v>69.749999999998707</v>
      </c>
      <c r="B1439" s="11">
        <f t="shared" si="24"/>
        <v>6.259609318203025</v>
      </c>
    </row>
    <row r="1440" spans="1:2" x14ac:dyDescent="0.3">
      <c r="A1440" s="11">
        <v>69.799999999998704</v>
      </c>
      <c r="B1440" s="11">
        <f t="shared" si="24"/>
        <v>6.2417727293311023</v>
      </c>
    </row>
    <row r="1441" spans="1:2" x14ac:dyDescent="0.3">
      <c r="A1441" s="11">
        <v>69.849999999998701</v>
      </c>
      <c r="B1441" s="11">
        <f t="shared" si="24"/>
        <v>6.2239996257368091</v>
      </c>
    </row>
    <row r="1442" spans="1:2" x14ac:dyDescent="0.3">
      <c r="A1442" s="11">
        <v>69.899999999998698</v>
      </c>
      <c r="B1442" s="11">
        <f t="shared" si="24"/>
        <v>6.2062897364619891</v>
      </c>
    </row>
    <row r="1443" spans="1:2" x14ac:dyDescent="0.3">
      <c r="A1443" s="11">
        <v>69.949999999998695</v>
      </c>
      <c r="B1443" s="11">
        <f t="shared" si="24"/>
        <v>6.1886427918965623</v>
      </c>
    </row>
    <row r="1444" spans="1:2" x14ac:dyDescent="0.3">
      <c r="A1444" s="11">
        <v>69.999999999998707</v>
      </c>
      <c r="B1444" s="11">
        <f t="shared" si="24"/>
        <v>6.1710585237711575</v>
      </c>
    </row>
    <row r="1445" spans="1:2" x14ac:dyDescent="0.3">
      <c r="A1445" s="11">
        <v>70.049999999998704</v>
      </c>
      <c r="B1445" s="11">
        <f t="shared" si="24"/>
        <v>6.1535366651493302</v>
      </c>
    </row>
    <row r="1446" spans="1:2" x14ac:dyDescent="0.3">
      <c r="A1446" s="11">
        <v>70.099999999998701</v>
      </c>
      <c r="B1446" s="11">
        <f t="shared" si="24"/>
        <v>6.1360769504200139</v>
      </c>
    </row>
    <row r="1447" spans="1:2" x14ac:dyDescent="0.3">
      <c r="A1447" s="11">
        <v>70.149999999998698</v>
      </c>
      <c r="B1447" s="11">
        <f t="shared" si="24"/>
        <v>6.1186791152900204</v>
      </c>
    </row>
    <row r="1448" spans="1:2" x14ac:dyDescent="0.3">
      <c r="A1448" s="11">
        <v>70.199999999998695</v>
      </c>
      <c r="B1448" s="11">
        <f t="shared" si="24"/>
        <v>6.1013428967765675</v>
      </c>
    </row>
    <row r="1449" spans="1:2" x14ac:dyDescent="0.3">
      <c r="A1449" s="11">
        <v>70.249999999998707</v>
      </c>
      <c r="B1449" s="11">
        <f t="shared" si="24"/>
        <v>6.0840680331999053</v>
      </c>
    </row>
    <row r="1450" spans="1:2" x14ac:dyDescent="0.3">
      <c r="A1450" s="11">
        <v>70.299999999998704</v>
      </c>
      <c r="B1450" s="11">
        <f t="shared" si="24"/>
        <v>6.066854264175924</v>
      </c>
    </row>
    <row r="1451" spans="1:2" x14ac:dyDescent="0.3">
      <c r="A1451" s="11">
        <v>70.349999999998701</v>
      </c>
      <c r="B1451" s="11">
        <f t="shared" si="24"/>
        <v>6.049701330608718</v>
      </c>
    </row>
    <row r="1452" spans="1:2" x14ac:dyDescent="0.3">
      <c r="A1452" s="11">
        <v>70.399999999998698</v>
      </c>
      <c r="B1452" s="11">
        <f t="shared" si="24"/>
        <v>6.0326089746834644</v>
      </c>
    </row>
    <row r="1453" spans="1:2" x14ac:dyDescent="0.3">
      <c r="A1453" s="11">
        <v>70.449999999998695</v>
      </c>
      <c r="B1453" s="11">
        <f t="shared" si="24"/>
        <v>6.0155769398590948</v>
      </c>
    </row>
    <row r="1454" spans="1:2" x14ac:dyDescent="0.3">
      <c r="A1454" s="11">
        <v>70.499999999998707</v>
      </c>
      <c r="B1454" s="11">
        <f t="shared" ref="B1454:B1517" si="25">374200000/(A1454^5*(EXP(14390/(A1454*Temperature))-1))</f>
        <v>5.9986049708611251</v>
      </c>
    </row>
    <row r="1455" spans="1:2" x14ac:dyDescent="0.3">
      <c r="A1455" s="11">
        <v>70.549999999998704</v>
      </c>
      <c r="B1455" s="11">
        <f t="shared" si="25"/>
        <v>5.9816928136746093</v>
      </c>
    </row>
    <row r="1456" spans="1:2" x14ac:dyDescent="0.3">
      <c r="A1456" s="11">
        <v>70.599999999998701</v>
      </c>
      <c r="B1456" s="11">
        <f t="shared" si="25"/>
        <v>5.9648402155368636</v>
      </c>
    </row>
    <row r="1457" spans="1:2" x14ac:dyDescent="0.3">
      <c r="A1457" s="11">
        <v>70.649999999998698</v>
      </c>
      <c r="B1457" s="11">
        <f t="shared" si="25"/>
        <v>5.9480469249305328</v>
      </c>
    </row>
    <row r="1458" spans="1:2" x14ac:dyDescent="0.3">
      <c r="A1458" s="11">
        <v>70.699999999998695</v>
      </c>
      <c r="B1458" s="11">
        <f t="shared" si="25"/>
        <v>5.931312691576542</v>
      </c>
    </row>
    <row r="1459" spans="1:2" x14ac:dyDescent="0.3">
      <c r="A1459" s="11">
        <v>70.749999999998707</v>
      </c>
      <c r="B1459" s="11">
        <f t="shared" si="25"/>
        <v>5.9146372664272429</v>
      </c>
    </row>
    <row r="1460" spans="1:2" x14ac:dyDescent="0.3">
      <c r="A1460" s="11">
        <v>70.799999999998704</v>
      </c>
      <c r="B1460" s="11">
        <f t="shared" si="25"/>
        <v>5.8980204016592879</v>
      </c>
    </row>
    <row r="1461" spans="1:2" x14ac:dyDescent="0.3">
      <c r="A1461" s="11">
        <v>70.849999999998701</v>
      </c>
      <c r="B1461" s="11">
        <f t="shared" si="25"/>
        <v>5.8814618506669314</v>
      </c>
    </row>
    <row r="1462" spans="1:2" x14ac:dyDescent="0.3">
      <c r="A1462" s="11">
        <v>70.899999999998698</v>
      </c>
      <c r="B1462" s="11">
        <f t="shared" si="25"/>
        <v>5.8649613680551713</v>
      </c>
    </row>
    <row r="1463" spans="1:2" x14ac:dyDescent="0.3">
      <c r="A1463" s="11">
        <v>70.949999999998695</v>
      </c>
      <c r="B1463" s="11">
        <f t="shared" si="25"/>
        <v>5.8485187096328559</v>
      </c>
    </row>
    <row r="1464" spans="1:2" x14ac:dyDescent="0.3">
      <c r="A1464" s="11">
        <v>70.999999999998707</v>
      </c>
      <c r="B1464" s="11">
        <f t="shared" si="25"/>
        <v>5.8321336324060082</v>
      </c>
    </row>
    <row r="1465" spans="1:2" x14ac:dyDescent="0.3">
      <c r="A1465" s="11">
        <v>71.049999999998704</v>
      </c>
      <c r="B1465" s="11">
        <f t="shared" si="25"/>
        <v>5.8158058945712119</v>
      </c>
    </row>
    <row r="1466" spans="1:2" x14ac:dyDescent="0.3">
      <c r="A1466" s="11">
        <v>71.099999999998701</v>
      </c>
      <c r="B1466" s="11">
        <f t="shared" si="25"/>
        <v>5.7995352555088431</v>
      </c>
    </row>
    <row r="1467" spans="1:2" x14ac:dyDescent="0.3">
      <c r="A1467" s="11">
        <v>71.149999999998698</v>
      </c>
      <c r="B1467" s="11">
        <f t="shared" si="25"/>
        <v>5.7833214757763809</v>
      </c>
    </row>
    <row r="1468" spans="1:2" x14ac:dyDescent="0.3">
      <c r="A1468" s="11">
        <v>71.199999999998695</v>
      </c>
      <c r="B1468" s="11">
        <f t="shared" si="25"/>
        <v>5.7671643171019884</v>
      </c>
    </row>
    <row r="1469" spans="1:2" x14ac:dyDescent="0.3">
      <c r="A1469" s="11">
        <v>71.249999999998707</v>
      </c>
      <c r="B1469" s="11">
        <f t="shared" si="25"/>
        <v>5.7510635423779108</v>
      </c>
    </row>
    <row r="1470" spans="1:2" x14ac:dyDescent="0.3">
      <c r="A1470" s="11">
        <v>71.299999999998704</v>
      </c>
      <c r="B1470" s="11">
        <f t="shared" si="25"/>
        <v>5.7350189156540186</v>
      </c>
    </row>
    <row r="1471" spans="1:2" x14ac:dyDescent="0.3">
      <c r="A1471" s="11">
        <v>71.349999999998701</v>
      </c>
      <c r="B1471" s="11">
        <f t="shared" si="25"/>
        <v>5.7190302021312265</v>
      </c>
    </row>
    <row r="1472" spans="1:2" x14ac:dyDescent="0.3">
      <c r="A1472" s="11">
        <v>71.399999999998698</v>
      </c>
      <c r="B1472" s="11">
        <f t="shared" si="25"/>
        <v>5.703097168155228</v>
      </c>
    </row>
    <row r="1473" spans="1:2" x14ac:dyDescent="0.3">
      <c r="A1473" s="11">
        <v>71.449999999998695</v>
      </c>
      <c r="B1473" s="11">
        <f t="shared" si="25"/>
        <v>5.6872195812100275</v>
      </c>
    </row>
    <row r="1474" spans="1:2" x14ac:dyDescent="0.3">
      <c r="A1474" s="11">
        <v>71.499999999998707</v>
      </c>
      <c r="B1474" s="11">
        <f t="shared" si="25"/>
        <v>5.6713972099116789</v>
      </c>
    </row>
    <row r="1475" spans="1:2" x14ac:dyDescent="0.3">
      <c r="A1475" s="11">
        <v>71.549999999998704</v>
      </c>
      <c r="B1475" s="11">
        <f t="shared" si="25"/>
        <v>5.6556298240019069</v>
      </c>
    </row>
    <row r="1476" spans="1:2" x14ac:dyDescent="0.3">
      <c r="A1476" s="11">
        <v>71.599999999998701</v>
      </c>
      <c r="B1476" s="11">
        <f t="shared" si="25"/>
        <v>5.6399171943419644</v>
      </c>
    </row>
    <row r="1477" spans="1:2" x14ac:dyDescent="0.3">
      <c r="A1477" s="11">
        <v>71.649999999998698</v>
      </c>
      <c r="B1477" s="11">
        <f t="shared" si="25"/>
        <v>5.6242590929062493</v>
      </c>
    </row>
    <row r="1478" spans="1:2" x14ac:dyDescent="0.3">
      <c r="A1478" s="11">
        <v>71.699999999998695</v>
      </c>
      <c r="B1478" s="11">
        <f t="shared" si="25"/>
        <v>5.6086552927763238</v>
      </c>
    </row>
    <row r="1479" spans="1:2" x14ac:dyDescent="0.3">
      <c r="A1479" s="11">
        <v>71.749999999998707</v>
      </c>
      <c r="B1479" s="11">
        <f t="shared" si="25"/>
        <v>5.5931055681346429</v>
      </c>
    </row>
    <row r="1480" spans="1:2" x14ac:dyDescent="0.3">
      <c r="A1480" s="11">
        <v>71.799999999998704</v>
      </c>
      <c r="B1480" s="11">
        <f t="shared" si="25"/>
        <v>5.577609694258495</v>
      </c>
    </row>
    <row r="1481" spans="1:2" x14ac:dyDescent="0.3">
      <c r="A1481" s="11">
        <v>71.849999999998701</v>
      </c>
      <c r="B1481" s="11">
        <f t="shared" si="25"/>
        <v>5.5621674475139384</v>
      </c>
    </row>
    <row r="1482" spans="1:2" x14ac:dyDescent="0.3">
      <c r="A1482" s="11">
        <v>71.899999999998698</v>
      </c>
      <c r="B1482" s="11">
        <f t="shared" si="25"/>
        <v>5.5467786053498038</v>
      </c>
    </row>
    <row r="1483" spans="1:2" x14ac:dyDescent="0.3">
      <c r="A1483" s="11">
        <v>71.949999999998695</v>
      </c>
      <c r="B1483" s="11">
        <f t="shared" si="25"/>
        <v>5.5314429462915653</v>
      </c>
    </row>
    <row r="1484" spans="1:2" x14ac:dyDescent="0.3">
      <c r="A1484" s="11">
        <v>71.999999999998707</v>
      </c>
      <c r="B1484" s="11">
        <f t="shared" si="25"/>
        <v>5.516160249935675</v>
      </c>
    </row>
    <row r="1485" spans="1:2" x14ac:dyDescent="0.3">
      <c r="A1485" s="11">
        <v>72.049999999998704</v>
      </c>
      <c r="B1485" s="11">
        <f t="shared" si="25"/>
        <v>5.5009302969433485</v>
      </c>
    </row>
    <row r="1486" spans="1:2" x14ac:dyDescent="0.3">
      <c r="A1486" s="11">
        <v>72.099999999998701</v>
      </c>
      <c r="B1486" s="11">
        <f t="shared" si="25"/>
        <v>5.4857528690348927</v>
      </c>
    </row>
    <row r="1487" spans="1:2" x14ac:dyDescent="0.3">
      <c r="A1487" s="11">
        <v>72.149999999998698</v>
      </c>
      <c r="B1487" s="11">
        <f t="shared" si="25"/>
        <v>5.4706277489837687</v>
      </c>
    </row>
    <row r="1488" spans="1:2" x14ac:dyDescent="0.3">
      <c r="A1488" s="11">
        <v>72.199999999998695</v>
      </c>
      <c r="B1488" s="11">
        <f t="shared" si="25"/>
        <v>5.4555547206107704</v>
      </c>
    </row>
    <row r="1489" spans="1:2" x14ac:dyDescent="0.3">
      <c r="A1489" s="11">
        <v>72.249999999998707</v>
      </c>
      <c r="B1489" s="11">
        <f t="shared" si="25"/>
        <v>5.4405335687784193</v>
      </c>
    </row>
    <row r="1490" spans="1:2" x14ac:dyDescent="0.3">
      <c r="A1490" s="11">
        <v>72.299999999998704</v>
      </c>
      <c r="B1490" s="11">
        <f t="shared" si="25"/>
        <v>5.4255640793849667</v>
      </c>
    </row>
    <row r="1491" spans="1:2" x14ac:dyDescent="0.3">
      <c r="A1491" s="11">
        <v>72.349999999998701</v>
      </c>
      <c r="B1491" s="11">
        <f t="shared" si="25"/>
        <v>5.410646039358963</v>
      </c>
    </row>
    <row r="1492" spans="1:2" x14ac:dyDescent="0.3">
      <c r="A1492" s="11">
        <v>72.399999999998698</v>
      </c>
      <c r="B1492" s="11">
        <f t="shared" si="25"/>
        <v>5.3957792366534028</v>
      </c>
    </row>
    <row r="1493" spans="1:2" x14ac:dyDescent="0.3">
      <c r="A1493" s="11">
        <v>72.449999999998695</v>
      </c>
      <c r="B1493" s="11">
        <f t="shared" si="25"/>
        <v>5.380963460240233</v>
      </c>
    </row>
    <row r="1494" spans="1:2" x14ac:dyDescent="0.3">
      <c r="A1494" s="11">
        <v>72.499999999998707</v>
      </c>
      <c r="B1494" s="11">
        <f t="shared" si="25"/>
        <v>5.3661985001046322</v>
      </c>
    </row>
    <row r="1495" spans="1:2" x14ac:dyDescent="0.3">
      <c r="A1495" s="11">
        <v>72.549999999998704</v>
      </c>
      <c r="B1495" s="11">
        <f t="shared" si="25"/>
        <v>5.3514841472396073</v>
      </c>
    </row>
    <row r="1496" spans="1:2" x14ac:dyDescent="0.3">
      <c r="A1496" s="11">
        <v>72.599999999998701</v>
      </c>
      <c r="B1496" s="11">
        <f t="shared" si="25"/>
        <v>5.336820193640305</v>
      </c>
    </row>
    <row r="1497" spans="1:2" x14ac:dyDescent="0.3">
      <c r="A1497" s="11">
        <v>72.649999999998698</v>
      </c>
      <c r="B1497" s="11">
        <f t="shared" si="25"/>
        <v>5.3222064322986951</v>
      </c>
    </row>
    <row r="1498" spans="1:2" x14ac:dyDescent="0.3">
      <c r="A1498" s="11">
        <v>72.699999999998695</v>
      </c>
      <c r="B1498" s="11">
        <f t="shared" si="25"/>
        <v>5.3076426571979471</v>
      </c>
    </row>
    <row r="1499" spans="1:2" x14ac:dyDescent="0.3">
      <c r="A1499" s="11">
        <v>72.749999999998707</v>
      </c>
      <c r="B1499" s="11">
        <f t="shared" si="25"/>
        <v>5.2931286633071224</v>
      </c>
    </row>
    <row r="1500" spans="1:2" x14ac:dyDescent="0.3">
      <c r="A1500" s="11">
        <v>72.799999999998704</v>
      </c>
      <c r="B1500" s="11">
        <f t="shared" si="25"/>
        <v>5.2786642465757794</v>
      </c>
    </row>
    <row r="1501" spans="1:2" x14ac:dyDescent="0.3">
      <c r="A1501" s="11">
        <v>72.849999999998701</v>
      </c>
      <c r="B1501" s="11">
        <f t="shared" si="25"/>
        <v>5.2642492039285074</v>
      </c>
    </row>
    <row r="1502" spans="1:2" x14ac:dyDescent="0.3">
      <c r="A1502" s="11">
        <v>72.899999999998698</v>
      </c>
      <c r="B1502" s="11">
        <f t="shared" si="25"/>
        <v>5.2498833332598283</v>
      </c>
    </row>
    <row r="1503" spans="1:2" x14ac:dyDescent="0.3">
      <c r="A1503" s="11">
        <v>72.949999999998695</v>
      </c>
      <c r="B1503" s="11">
        <f t="shared" si="25"/>
        <v>5.2355664334285876</v>
      </c>
    </row>
    <row r="1504" spans="1:2" x14ac:dyDescent="0.3">
      <c r="A1504" s="11">
        <v>72.999999999998707</v>
      </c>
      <c r="B1504" s="11">
        <f t="shared" si="25"/>
        <v>5.2212983042530752</v>
      </c>
    </row>
    <row r="1505" spans="1:2" x14ac:dyDescent="0.3">
      <c r="A1505" s="11">
        <v>73.049999999998704</v>
      </c>
      <c r="B1505" s="11">
        <f t="shared" si="25"/>
        <v>5.2070787465054336</v>
      </c>
    </row>
    <row r="1506" spans="1:2" x14ac:dyDescent="0.3">
      <c r="A1506" s="11">
        <v>73.099999999998701</v>
      </c>
      <c r="B1506" s="11">
        <f t="shared" si="25"/>
        <v>5.1929075619067699</v>
      </c>
    </row>
    <row r="1507" spans="1:2" x14ac:dyDescent="0.3">
      <c r="A1507" s="11">
        <v>73.149999999998698</v>
      </c>
      <c r="B1507" s="11">
        <f t="shared" si="25"/>
        <v>5.1787845531217576</v>
      </c>
    </row>
    <row r="1508" spans="1:2" x14ac:dyDescent="0.3">
      <c r="A1508" s="11">
        <v>73.199999999998695</v>
      </c>
      <c r="B1508" s="11">
        <f t="shared" si="25"/>
        <v>5.1647095237536522</v>
      </c>
    </row>
    <row r="1509" spans="1:2" x14ac:dyDescent="0.3">
      <c r="A1509" s="11">
        <v>73.249999999998707</v>
      </c>
      <c r="B1509" s="11">
        <f t="shared" si="25"/>
        <v>5.1506822783391621</v>
      </c>
    </row>
    <row r="1510" spans="1:2" x14ac:dyDescent="0.3">
      <c r="A1510" s="11">
        <v>73.299999999998604</v>
      </c>
      <c r="B1510" s="11">
        <f t="shared" si="25"/>
        <v>5.1367026223434076</v>
      </c>
    </row>
    <row r="1511" spans="1:2" x14ac:dyDescent="0.3">
      <c r="A1511" s="11">
        <v>73.349999999998602</v>
      </c>
      <c r="B1511" s="11">
        <f t="shared" si="25"/>
        <v>5.1227703621547311</v>
      </c>
    </row>
    <row r="1512" spans="1:2" x14ac:dyDescent="0.3">
      <c r="A1512" s="11">
        <v>73.399999999998698</v>
      </c>
      <c r="B1512" s="11">
        <f t="shared" si="25"/>
        <v>5.1088853050798795</v>
      </c>
    </row>
    <row r="1513" spans="1:2" x14ac:dyDescent="0.3">
      <c r="A1513" s="11">
        <v>73.449999999998596</v>
      </c>
      <c r="B1513" s="11">
        <f t="shared" si="25"/>
        <v>5.0950472593390614</v>
      </c>
    </row>
    <row r="1514" spans="1:2" x14ac:dyDescent="0.3">
      <c r="A1514" s="11">
        <v>73.499999999998593</v>
      </c>
      <c r="B1514" s="11">
        <f t="shared" si="25"/>
        <v>5.0812560340606909</v>
      </c>
    </row>
    <row r="1515" spans="1:2" x14ac:dyDescent="0.3">
      <c r="A1515" s="11">
        <v>73.549999999998604</v>
      </c>
      <c r="B1515" s="11">
        <f t="shared" si="25"/>
        <v>5.0675114392768261</v>
      </c>
    </row>
    <row r="1516" spans="1:2" x14ac:dyDescent="0.3">
      <c r="A1516" s="11">
        <v>73.599999999998602</v>
      </c>
      <c r="B1516" s="11">
        <f t="shared" si="25"/>
        <v>5.0538132859181353</v>
      </c>
    </row>
    <row r="1517" spans="1:2" x14ac:dyDescent="0.3">
      <c r="A1517" s="11">
        <v>73.649999999998599</v>
      </c>
      <c r="B1517" s="11">
        <f t="shared" si="25"/>
        <v>5.0401613858090029</v>
      </c>
    </row>
    <row r="1518" spans="1:2" x14ac:dyDescent="0.3">
      <c r="A1518" s="11">
        <v>73.699999999998596</v>
      </c>
      <c r="B1518" s="11">
        <f t="shared" ref="B1518:B1581" si="26">374200000/(A1518^5*(EXP(14390/(A1518*Temperature))-1))</f>
        <v>5.0265555516627671</v>
      </c>
    </row>
    <row r="1519" spans="1:2" x14ac:dyDescent="0.3">
      <c r="A1519" s="11">
        <v>73.749999999998593</v>
      </c>
      <c r="B1519" s="11">
        <f t="shared" si="26"/>
        <v>5.0129955970769347</v>
      </c>
    </row>
    <row r="1520" spans="1:2" x14ac:dyDescent="0.3">
      <c r="A1520" s="11">
        <v>73.799999999998604</v>
      </c>
      <c r="B1520" s="11">
        <f t="shared" si="26"/>
        <v>4.9994813365283202</v>
      </c>
    </row>
    <row r="1521" spans="1:2" x14ac:dyDescent="0.3">
      <c r="A1521" s="11">
        <v>73.849999999998602</v>
      </c>
      <c r="B1521" s="11">
        <f t="shared" si="26"/>
        <v>4.9860125853684805</v>
      </c>
    </row>
    <row r="1522" spans="1:2" x14ac:dyDescent="0.3">
      <c r="A1522" s="11">
        <v>73.899999999998599</v>
      </c>
      <c r="B1522" s="11">
        <f t="shared" si="26"/>
        <v>4.9725891598187655</v>
      </c>
    </row>
    <row r="1523" spans="1:2" x14ac:dyDescent="0.3">
      <c r="A1523" s="11">
        <v>73.949999999998596</v>
      </c>
      <c r="B1523" s="11">
        <f t="shared" si="26"/>
        <v>4.9592108769659067</v>
      </c>
    </row>
    <row r="1524" spans="1:2" x14ac:dyDescent="0.3">
      <c r="A1524" s="11">
        <v>73.999999999998593</v>
      </c>
      <c r="B1524" s="11">
        <f t="shared" si="26"/>
        <v>4.9458775547570939</v>
      </c>
    </row>
    <row r="1525" spans="1:2" x14ac:dyDescent="0.3">
      <c r="A1525" s="11">
        <v>74.049999999998604</v>
      </c>
      <c r="B1525" s="11">
        <f t="shared" si="26"/>
        <v>4.9325890119956197</v>
      </c>
    </row>
    <row r="1526" spans="1:2" x14ac:dyDescent="0.3">
      <c r="A1526" s="11">
        <v>74.099999999998602</v>
      </c>
      <c r="B1526" s="11">
        <f t="shared" si="26"/>
        <v>4.9193450683360691</v>
      </c>
    </row>
    <row r="1527" spans="1:2" x14ac:dyDescent="0.3">
      <c r="A1527" s="11">
        <v>74.149999999998599</v>
      </c>
      <c r="B1527" s="11">
        <f t="shared" si="26"/>
        <v>4.9061455442798074</v>
      </c>
    </row>
    <row r="1528" spans="1:2" x14ac:dyDescent="0.3">
      <c r="A1528" s="11">
        <v>74.199999999998596</v>
      </c>
      <c r="B1528" s="11">
        <f t="shared" si="26"/>
        <v>4.8929902611705787</v>
      </c>
    </row>
    <row r="1529" spans="1:2" x14ac:dyDescent="0.3">
      <c r="A1529" s="11">
        <v>74.249999999998593</v>
      </c>
      <c r="B1529" s="11">
        <f t="shared" si="26"/>
        <v>4.8798790411897235</v>
      </c>
    </row>
    <row r="1530" spans="1:2" x14ac:dyDescent="0.3">
      <c r="A1530" s="11">
        <v>74.299999999998604</v>
      </c>
      <c r="B1530" s="11">
        <f t="shared" si="26"/>
        <v>4.8668117073519879</v>
      </c>
    </row>
    <row r="1531" spans="1:2" x14ac:dyDescent="0.3">
      <c r="A1531" s="11">
        <v>74.349999999998602</v>
      </c>
      <c r="B1531" s="11">
        <f t="shared" si="26"/>
        <v>4.8537880835008345</v>
      </c>
    </row>
    <row r="1532" spans="1:2" x14ac:dyDescent="0.3">
      <c r="A1532" s="11">
        <v>74.399999999998599</v>
      </c>
      <c r="B1532" s="11">
        <f t="shared" si="26"/>
        <v>4.8408079943041242</v>
      </c>
    </row>
    <row r="1533" spans="1:2" x14ac:dyDescent="0.3">
      <c r="A1533" s="11">
        <v>74.449999999998596</v>
      </c>
      <c r="B1533" s="11">
        <f t="shared" si="26"/>
        <v>4.827871265249656</v>
      </c>
    </row>
    <row r="1534" spans="1:2" x14ac:dyDescent="0.3">
      <c r="A1534" s="11">
        <v>74.499999999998593</v>
      </c>
      <c r="B1534" s="11">
        <f t="shared" si="26"/>
        <v>4.8149777226408714</v>
      </c>
    </row>
    <row r="1535" spans="1:2" x14ac:dyDescent="0.3">
      <c r="A1535" s="11">
        <v>74.549999999998604</v>
      </c>
      <c r="B1535" s="11">
        <f t="shared" si="26"/>
        <v>4.8021271935924057</v>
      </c>
    </row>
    <row r="1536" spans="1:2" x14ac:dyDescent="0.3">
      <c r="A1536" s="11">
        <v>74.599999999998602</v>
      </c>
      <c r="B1536" s="11">
        <f t="shared" si="26"/>
        <v>4.789319506025782</v>
      </c>
    </row>
    <row r="1537" spans="1:2" x14ac:dyDescent="0.3">
      <c r="A1537" s="11">
        <v>74.649999999998599</v>
      </c>
      <c r="B1537" s="11">
        <f t="shared" si="26"/>
        <v>4.7765544886651625</v>
      </c>
    </row>
    <row r="1538" spans="1:2" x14ac:dyDescent="0.3">
      <c r="A1538" s="11">
        <v>74.699999999998596</v>
      </c>
      <c r="B1538" s="11">
        <f t="shared" si="26"/>
        <v>4.7638319710330679</v>
      </c>
    </row>
    <row r="1539" spans="1:2" x14ac:dyDescent="0.3">
      <c r="A1539" s="11">
        <v>74.749999999998593</v>
      </c>
      <c r="B1539" s="11">
        <f t="shared" si="26"/>
        <v>4.7511517834459722</v>
      </c>
    </row>
    <row r="1540" spans="1:2" x14ac:dyDescent="0.3">
      <c r="A1540" s="11">
        <v>74.799999999998604</v>
      </c>
      <c r="B1540" s="11">
        <f t="shared" si="26"/>
        <v>4.7385137570103444</v>
      </c>
    </row>
    <row r="1541" spans="1:2" x14ac:dyDescent="0.3">
      <c r="A1541" s="11">
        <v>74.849999999998602</v>
      </c>
      <c r="B1541" s="11">
        <f t="shared" si="26"/>
        <v>4.7259177236182142</v>
      </c>
    </row>
    <row r="1542" spans="1:2" x14ac:dyDescent="0.3">
      <c r="A1542" s="11">
        <v>74.899999999998599</v>
      </c>
      <c r="B1542" s="11">
        <f t="shared" si="26"/>
        <v>4.7133635159431826</v>
      </c>
    </row>
    <row r="1543" spans="1:2" x14ac:dyDescent="0.3">
      <c r="A1543" s="11">
        <v>74.949999999998596</v>
      </c>
      <c r="B1543" s="11">
        <f t="shared" si="26"/>
        <v>4.700850967436077</v>
      </c>
    </row>
    <row r="1544" spans="1:2" x14ac:dyDescent="0.3">
      <c r="A1544" s="11">
        <v>74.999999999998593</v>
      </c>
      <c r="B1544" s="11">
        <f t="shared" si="26"/>
        <v>4.6883799123210226</v>
      </c>
    </row>
    <row r="1545" spans="1:2" x14ac:dyDescent="0.3">
      <c r="A1545" s="11">
        <v>75.049999999998604</v>
      </c>
      <c r="B1545" s="11">
        <f t="shared" si="26"/>
        <v>4.6759501855911916</v>
      </c>
    </row>
    <row r="1546" spans="1:2" x14ac:dyDescent="0.3">
      <c r="A1546" s="11">
        <v>75.099999999998602</v>
      </c>
      <c r="B1546" s="11">
        <f t="shared" si="26"/>
        <v>4.6635616230048287</v>
      </c>
    </row>
    <row r="1547" spans="1:2" x14ac:dyDescent="0.3">
      <c r="A1547" s="11">
        <v>75.149999999998599</v>
      </c>
      <c r="B1547" s="11">
        <f t="shared" si="26"/>
        <v>4.6512140610811459</v>
      </c>
    </row>
    <row r="1548" spans="1:2" x14ac:dyDescent="0.3">
      <c r="A1548" s="11">
        <v>75.199999999998596</v>
      </c>
      <c r="B1548" s="11">
        <f t="shared" si="26"/>
        <v>4.6389073370962999</v>
      </c>
    </row>
    <row r="1549" spans="1:2" x14ac:dyDescent="0.3">
      <c r="A1549" s="11">
        <v>75.249999999998593</v>
      </c>
      <c r="B1549" s="11">
        <f t="shared" si="26"/>
        <v>4.6266412890794264</v>
      </c>
    </row>
    <row r="1550" spans="1:2" x14ac:dyDescent="0.3">
      <c r="A1550" s="11">
        <v>75.299999999998604</v>
      </c>
      <c r="B1550" s="11">
        <f t="shared" si="26"/>
        <v>4.614415755808615</v>
      </c>
    </row>
    <row r="1551" spans="1:2" x14ac:dyDescent="0.3">
      <c r="A1551" s="11">
        <v>75.349999999998602</v>
      </c>
      <c r="B1551" s="11">
        <f t="shared" si="26"/>
        <v>4.6022305768069449</v>
      </c>
    </row>
    <row r="1552" spans="1:2" x14ac:dyDescent="0.3">
      <c r="A1552" s="11">
        <v>75.399999999998599</v>
      </c>
      <c r="B1552" s="11">
        <f t="shared" si="26"/>
        <v>4.5900855923386716</v>
      </c>
    </row>
    <row r="1553" spans="1:2" x14ac:dyDescent="0.3">
      <c r="A1553" s="11">
        <v>75.449999999998596</v>
      </c>
      <c r="B1553" s="11">
        <f t="shared" si="26"/>
        <v>4.5779806434050974</v>
      </c>
    </row>
    <row r="1554" spans="1:2" x14ac:dyDescent="0.3">
      <c r="A1554" s="11">
        <v>75.499999999998593</v>
      </c>
      <c r="B1554" s="11">
        <f t="shared" si="26"/>
        <v>4.5659155717409527</v>
      </c>
    </row>
    <row r="1555" spans="1:2" x14ac:dyDescent="0.3">
      <c r="A1555" s="11">
        <v>75.549999999998604</v>
      </c>
      <c r="B1555" s="11">
        <f t="shared" si="26"/>
        <v>4.5538902198103139</v>
      </c>
    </row>
    <row r="1556" spans="1:2" x14ac:dyDescent="0.3">
      <c r="A1556" s="11">
        <v>75.599999999998602</v>
      </c>
      <c r="B1556" s="11">
        <f t="shared" si="26"/>
        <v>4.5419044308028411</v>
      </c>
    </row>
    <row r="1557" spans="1:2" x14ac:dyDescent="0.3">
      <c r="A1557" s="11">
        <v>75.649999999998599</v>
      </c>
      <c r="B1557" s="11">
        <f t="shared" si="26"/>
        <v>4.5299580486300082</v>
      </c>
    </row>
    <row r="1558" spans="1:2" x14ac:dyDescent="0.3">
      <c r="A1558" s="11">
        <v>75.699999999998596</v>
      </c>
      <c r="B1558" s="11">
        <f t="shared" si="26"/>
        <v>4.5180509179212747</v>
      </c>
    </row>
    <row r="1559" spans="1:2" x14ac:dyDescent="0.3">
      <c r="A1559" s="11">
        <v>75.749999999998593</v>
      </c>
      <c r="B1559" s="11">
        <f t="shared" si="26"/>
        <v>4.5061828840202436</v>
      </c>
    </row>
    <row r="1560" spans="1:2" x14ac:dyDescent="0.3">
      <c r="A1560" s="11">
        <v>75.799999999998604</v>
      </c>
      <c r="B1560" s="11">
        <f t="shared" si="26"/>
        <v>4.4943537929810393</v>
      </c>
    </row>
    <row r="1561" spans="1:2" x14ac:dyDescent="0.3">
      <c r="A1561" s="11">
        <v>75.849999999998602</v>
      </c>
      <c r="B1561" s="11">
        <f t="shared" si="26"/>
        <v>4.4825634915644619</v>
      </c>
    </row>
    <row r="1562" spans="1:2" x14ac:dyDescent="0.3">
      <c r="A1562" s="11">
        <v>75.899999999998599</v>
      </c>
      <c r="B1562" s="11">
        <f t="shared" si="26"/>
        <v>4.4708118272344013</v>
      </c>
    </row>
    <row r="1563" spans="1:2" x14ac:dyDescent="0.3">
      <c r="A1563" s="11">
        <v>75.949999999998596</v>
      </c>
      <c r="B1563" s="11">
        <f t="shared" si="26"/>
        <v>4.4590986481540567</v>
      </c>
    </row>
    <row r="1564" spans="1:2" x14ac:dyDescent="0.3">
      <c r="A1564" s="11">
        <v>75.999999999998593</v>
      </c>
      <c r="B1564" s="11">
        <f t="shared" si="26"/>
        <v>4.4474238031822644</v>
      </c>
    </row>
    <row r="1565" spans="1:2" x14ac:dyDescent="0.3">
      <c r="A1565" s="11">
        <v>76.049999999998604</v>
      </c>
      <c r="B1565" s="11">
        <f t="shared" si="26"/>
        <v>4.4357871418699633</v>
      </c>
    </row>
    <row r="1566" spans="1:2" x14ac:dyDescent="0.3">
      <c r="A1566" s="11">
        <v>76.099999999998602</v>
      </c>
      <c r="B1566" s="11">
        <f t="shared" si="26"/>
        <v>4.4241885144564534</v>
      </c>
    </row>
    <row r="1567" spans="1:2" x14ac:dyDescent="0.3">
      <c r="A1567" s="11">
        <v>76.149999999998599</v>
      </c>
      <c r="B1567" s="11">
        <f t="shared" si="26"/>
        <v>4.4126277718659201</v>
      </c>
    </row>
    <row r="1568" spans="1:2" x14ac:dyDescent="0.3">
      <c r="A1568" s="11">
        <v>76.199999999998596</v>
      </c>
      <c r="B1568" s="11">
        <f t="shared" si="26"/>
        <v>4.4011047657037592</v>
      </c>
    </row>
    <row r="1569" spans="1:2" x14ac:dyDescent="0.3">
      <c r="A1569" s="11">
        <v>76.249999999998593</v>
      </c>
      <c r="B1569" s="11">
        <f t="shared" si="26"/>
        <v>4.3896193482530528</v>
      </c>
    </row>
    <row r="1570" spans="1:2" x14ac:dyDescent="0.3">
      <c r="A1570" s="11">
        <v>76.299999999998604</v>
      </c>
      <c r="B1570" s="11">
        <f t="shared" si="26"/>
        <v>4.3781713724710096</v>
      </c>
    </row>
    <row r="1571" spans="1:2" x14ac:dyDescent="0.3">
      <c r="A1571" s="11">
        <v>76.349999999998602</v>
      </c>
      <c r="B1571" s="11">
        <f t="shared" si="26"/>
        <v>4.3667606919855766</v>
      </c>
    </row>
    <row r="1572" spans="1:2" x14ac:dyDescent="0.3">
      <c r="A1572" s="11">
        <v>76.399999999998599</v>
      </c>
      <c r="B1572" s="11">
        <f t="shared" si="26"/>
        <v>4.3553871610917358</v>
      </c>
    </row>
    <row r="1573" spans="1:2" x14ac:dyDescent="0.3">
      <c r="A1573" s="11">
        <v>76.449999999998596</v>
      </c>
      <c r="B1573" s="11">
        <f t="shared" si="26"/>
        <v>4.3440506347482151</v>
      </c>
    </row>
    <row r="1574" spans="1:2" x14ac:dyDescent="0.3">
      <c r="A1574" s="11">
        <v>76.499999999998593</v>
      </c>
      <c r="B1574" s="11">
        <f t="shared" si="26"/>
        <v>4.3327509685739294</v>
      </c>
    </row>
    <row r="1575" spans="1:2" x14ac:dyDescent="0.3">
      <c r="A1575" s="11">
        <v>76.549999999998604</v>
      </c>
      <c r="B1575" s="11">
        <f t="shared" si="26"/>
        <v>4.3214880188445965</v>
      </c>
    </row>
    <row r="1576" spans="1:2" x14ac:dyDescent="0.3">
      <c r="A1576" s="11">
        <v>76.599999999998602</v>
      </c>
      <c r="B1576" s="11">
        <f t="shared" si="26"/>
        <v>4.310261642489337</v>
      </c>
    </row>
    <row r="1577" spans="1:2" x14ac:dyDescent="0.3">
      <c r="A1577" s="11">
        <v>76.649999999998599</v>
      </c>
      <c r="B1577" s="11">
        <f t="shared" si="26"/>
        <v>4.2990716970871805</v>
      </c>
    </row>
    <row r="1578" spans="1:2" x14ac:dyDescent="0.3">
      <c r="A1578" s="11">
        <v>76.699999999998596</v>
      </c>
      <c r="B1578" s="11">
        <f t="shared" si="26"/>
        <v>4.2879180408638833</v>
      </c>
    </row>
    <row r="1579" spans="1:2" x14ac:dyDescent="0.3">
      <c r="A1579" s="11">
        <v>76.749999999998593</v>
      </c>
      <c r="B1579" s="11">
        <f t="shared" si="26"/>
        <v>4.2768005326883571</v>
      </c>
    </row>
    <row r="1580" spans="1:2" x14ac:dyDescent="0.3">
      <c r="A1580" s="11">
        <v>76.799999999998604</v>
      </c>
      <c r="B1580" s="11">
        <f t="shared" si="26"/>
        <v>4.2657190320694678</v>
      </c>
    </row>
    <row r="1581" spans="1:2" x14ac:dyDescent="0.3">
      <c r="A1581" s="11">
        <v>76.849999999998602</v>
      </c>
      <c r="B1581" s="11">
        <f t="shared" si="26"/>
        <v>4.2546733991527654</v>
      </c>
    </row>
    <row r="1582" spans="1:2" x14ac:dyDescent="0.3">
      <c r="A1582" s="11">
        <v>76.899999999998599</v>
      </c>
      <c r="B1582" s="11">
        <f t="shared" ref="B1582:B1645" si="27">374200000/(A1582^5*(EXP(14390/(A1582*Temperature))-1))</f>
        <v>4.2436634947170004</v>
      </c>
    </row>
    <row r="1583" spans="1:2" x14ac:dyDescent="0.3">
      <c r="A1583" s="11">
        <v>76.949999999998596</v>
      </c>
      <c r="B1583" s="11">
        <f t="shared" si="27"/>
        <v>4.2326891801710431</v>
      </c>
    </row>
    <row r="1584" spans="1:2" x14ac:dyDescent="0.3">
      <c r="A1584" s="11">
        <v>76.999999999998593</v>
      </c>
      <c r="B1584" s="11">
        <f t="shared" si="27"/>
        <v>4.2217503175505557</v>
      </c>
    </row>
    <row r="1585" spans="1:2" x14ac:dyDescent="0.3">
      <c r="A1585" s="11">
        <v>77.049999999998604</v>
      </c>
      <c r="B1585" s="11">
        <f t="shared" si="27"/>
        <v>4.2108467695146814</v>
      </c>
    </row>
    <row r="1586" spans="1:2" x14ac:dyDescent="0.3">
      <c r="A1586" s="11">
        <v>77.099999999998602</v>
      </c>
      <c r="B1586" s="11">
        <f t="shared" si="27"/>
        <v>4.1999783993429567</v>
      </c>
    </row>
    <row r="1587" spans="1:2" x14ac:dyDescent="0.3">
      <c r="A1587" s="11">
        <v>77.149999999998599</v>
      </c>
      <c r="B1587" s="11">
        <f t="shared" si="27"/>
        <v>4.1891450709320504</v>
      </c>
    </row>
    <row r="1588" spans="1:2" x14ac:dyDescent="0.3">
      <c r="A1588" s="11">
        <v>77.199999999998596</v>
      </c>
      <c r="B1588" s="11">
        <f t="shared" si="27"/>
        <v>4.1783466487925063</v>
      </c>
    </row>
    <row r="1589" spans="1:2" x14ac:dyDescent="0.3">
      <c r="A1589" s="11">
        <v>77.249999999998593</v>
      </c>
      <c r="B1589" s="11">
        <f t="shared" si="27"/>
        <v>4.167582998045738</v>
      </c>
    </row>
    <row r="1590" spans="1:2" x14ac:dyDescent="0.3">
      <c r="A1590" s="11">
        <v>77.299999999998604</v>
      </c>
      <c r="B1590" s="11">
        <f t="shared" si="27"/>
        <v>4.1568539844207448</v>
      </c>
    </row>
    <row r="1591" spans="1:2" x14ac:dyDescent="0.3">
      <c r="A1591" s="11">
        <v>77.349999999998602</v>
      </c>
      <c r="B1591" s="11">
        <f t="shared" si="27"/>
        <v>4.1461594742510686</v>
      </c>
    </row>
    <row r="1592" spans="1:2" x14ac:dyDescent="0.3">
      <c r="A1592" s="11">
        <v>77.399999999998599</v>
      </c>
      <c r="B1592" s="11">
        <f t="shared" si="27"/>
        <v>4.135499334471632</v>
      </c>
    </row>
    <row r="1593" spans="1:2" x14ac:dyDescent="0.3">
      <c r="A1593" s="11">
        <v>77.449999999998596</v>
      </c>
      <c r="B1593" s="11">
        <f t="shared" si="27"/>
        <v>4.1248734326157201</v>
      </c>
    </row>
    <row r="1594" spans="1:2" x14ac:dyDescent="0.3">
      <c r="A1594" s="11">
        <v>77.499999999998593</v>
      </c>
      <c r="B1594" s="11">
        <f t="shared" si="27"/>
        <v>4.1142816368118122</v>
      </c>
    </row>
    <row r="1595" spans="1:2" x14ac:dyDescent="0.3">
      <c r="A1595" s="11">
        <v>77.549999999998604</v>
      </c>
      <c r="B1595" s="11">
        <f t="shared" si="27"/>
        <v>4.1037238157805458</v>
      </c>
    </row>
    <row r="1596" spans="1:2" x14ac:dyDescent="0.3">
      <c r="A1596" s="11">
        <v>77.599999999998602</v>
      </c>
      <c r="B1596" s="11">
        <f t="shared" si="27"/>
        <v>4.0931998388318362</v>
      </c>
    </row>
    <row r="1597" spans="1:2" x14ac:dyDescent="0.3">
      <c r="A1597" s="11">
        <v>77.649999999998599</v>
      </c>
      <c r="B1597" s="11">
        <f t="shared" si="27"/>
        <v>4.0827095758615704</v>
      </c>
    </row>
    <row r="1598" spans="1:2" x14ac:dyDescent="0.3">
      <c r="A1598" s="11">
        <v>77.699999999998596</v>
      </c>
      <c r="B1598" s="11">
        <f t="shared" si="27"/>
        <v>4.0722528973489078</v>
      </c>
    </row>
    <row r="1599" spans="1:2" x14ac:dyDescent="0.3">
      <c r="A1599" s="11">
        <v>77.749999999998593</v>
      </c>
      <c r="B1599" s="11">
        <f t="shared" si="27"/>
        <v>4.0618296743530236</v>
      </c>
    </row>
    <row r="1600" spans="1:2" x14ac:dyDescent="0.3">
      <c r="A1600" s="11">
        <v>77.799999999998604</v>
      </c>
      <c r="B1600" s="11">
        <f t="shared" si="27"/>
        <v>4.0514397785103418</v>
      </c>
    </row>
    <row r="1601" spans="1:2" x14ac:dyDescent="0.3">
      <c r="A1601" s="11">
        <v>77.849999999998602</v>
      </c>
      <c r="B1601" s="11">
        <f t="shared" si="27"/>
        <v>4.0410830820315331</v>
      </c>
    </row>
    <row r="1602" spans="1:2" x14ac:dyDescent="0.3">
      <c r="A1602" s="11">
        <v>77.899999999998599</v>
      </c>
      <c r="B1602" s="11">
        <f t="shared" si="27"/>
        <v>4.0307594576984789</v>
      </c>
    </row>
    <row r="1603" spans="1:2" x14ac:dyDescent="0.3">
      <c r="A1603" s="11">
        <v>77.949999999998596</v>
      </c>
      <c r="B1603" s="11">
        <f t="shared" si="27"/>
        <v>4.0204687788615274</v>
      </c>
    </row>
    <row r="1604" spans="1:2" x14ac:dyDescent="0.3">
      <c r="A1604" s="11">
        <v>77.999999999998593</v>
      </c>
      <c r="B1604" s="11">
        <f t="shared" si="27"/>
        <v>4.0102109194364006</v>
      </c>
    </row>
    <row r="1605" spans="1:2" x14ac:dyDescent="0.3">
      <c r="A1605" s="11">
        <v>78.049999999998604</v>
      </c>
      <c r="B1605" s="11">
        <f t="shared" si="27"/>
        <v>3.9999857539014645</v>
      </c>
    </row>
    <row r="1606" spans="1:2" x14ac:dyDescent="0.3">
      <c r="A1606" s="11">
        <v>78.099999999998502</v>
      </c>
      <c r="B1606" s="11">
        <f t="shared" si="27"/>
        <v>3.9897931572948551</v>
      </c>
    </row>
    <row r="1607" spans="1:2" x14ac:dyDescent="0.3">
      <c r="A1607" s="11">
        <v>78.149999999998499</v>
      </c>
      <c r="B1607" s="11">
        <f t="shared" si="27"/>
        <v>3.9796330052114892</v>
      </c>
    </row>
    <row r="1608" spans="1:2" x14ac:dyDescent="0.3">
      <c r="A1608" s="11">
        <v>78.199999999998496</v>
      </c>
      <c r="B1608" s="11">
        <f t="shared" si="27"/>
        <v>3.9695051738003824</v>
      </c>
    </row>
    <row r="1609" spans="1:2" x14ac:dyDescent="0.3">
      <c r="A1609" s="11">
        <v>78.249999999998494</v>
      </c>
      <c r="B1609" s="11">
        <f t="shared" si="27"/>
        <v>3.9594095397617193</v>
      </c>
    </row>
    <row r="1610" spans="1:2" x14ac:dyDescent="0.3">
      <c r="A1610" s="11">
        <v>78.299999999998604</v>
      </c>
      <c r="B1610" s="11">
        <f t="shared" si="27"/>
        <v>3.9493459803441282</v>
      </c>
    </row>
    <row r="1611" spans="1:2" x14ac:dyDescent="0.3">
      <c r="A1611" s="11">
        <v>78.349999999998502</v>
      </c>
      <c r="B1611" s="11">
        <f t="shared" si="27"/>
        <v>3.9393143733419542</v>
      </c>
    </row>
    <row r="1612" spans="1:2" x14ac:dyDescent="0.3">
      <c r="A1612" s="11">
        <v>78.399999999998499</v>
      </c>
      <c r="B1612" s="11">
        <f t="shared" si="27"/>
        <v>3.9293145970922452</v>
      </c>
    </row>
    <row r="1613" spans="1:2" x14ac:dyDescent="0.3">
      <c r="A1613" s="11">
        <v>78.449999999998496</v>
      </c>
      <c r="B1613" s="11">
        <f t="shared" si="27"/>
        <v>3.919346530472291</v>
      </c>
    </row>
    <row r="1614" spans="1:2" x14ac:dyDescent="0.3">
      <c r="A1614" s="11">
        <v>78.499999999998494</v>
      </c>
      <c r="B1614" s="11">
        <f t="shared" si="27"/>
        <v>3.9094100528966709</v>
      </c>
    </row>
    <row r="1615" spans="1:2" x14ac:dyDescent="0.3">
      <c r="A1615" s="11">
        <v>78.549999999998505</v>
      </c>
      <c r="B1615" s="11">
        <f t="shared" si="27"/>
        <v>3.8995050443146089</v>
      </c>
    </row>
    <row r="1616" spans="1:2" x14ac:dyDescent="0.3">
      <c r="A1616" s="11">
        <v>78.599999999998502</v>
      </c>
      <c r="B1616" s="11">
        <f t="shared" si="27"/>
        <v>3.8896313852073643</v>
      </c>
    </row>
    <row r="1617" spans="1:2" x14ac:dyDescent="0.3">
      <c r="A1617" s="11">
        <v>78.649999999998499</v>
      </c>
      <c r="B1617" s="11">
        <f t="shared" si="27"/>
        <v>3.8797889565853025</v>
      </c>
    </row>
    <row r="1618" spans="1:2" x14ac:dyDescent="0.3">
      <c r="A1618" s="11">
        <v>78.699999999998496</v>
      </c>
      <c r="B1618" s="11">
        <f t="shared" si="27"/>
        <v>3.8699776399854739</v>
      </c>
    </row>
    <row r="1619" spans="1:2" x14ac:dyDescent="0.3">
      <c r="A1619" s="11">
        <v>78.749999999998494</v>
      </c>
      <c r="B1619" s="11">
        <f t="shared" si="27"/>
        <v>3.8601973174687911</v>
      </c>
    </row>
    <row r="1620" spans="1:2" x14ac:dyDescent="0.3">
      <c r="A1620" s="11">
        <v>78.799999999998505</v>
      </c>
      <c r="B1620" s="11">
        <f t="shared" si="27"/>
        <v>3.8504478716174346</v>
      </c>
    </row>
    <row r="1621" spans="1:2" x14ac:dyDescent="0.3">
      <c r="A1621" s="11">
        <v>78.849999999998502</v>
      </c>
      <c r="B1621" s="11">
        <f t="shared" si="27"/>
        <v>3.840729185532211</v>
      </c>
    </row>
    <row r="1622" spans="1:2" x14ac:dyDescent="0.3">
      <c r="A1622" s="11">
        <v>78.899999999998499</v>
      </c>
      <c r="B1622" s="11">
        <f t="shared" si="27"/>
        <v>3.8310411428299402</v>
      </c>
    </row>
    <row r="1623" spans="1:2" x14ac:dyDescent="0.3">
      <c r="A1623" s="11">
        <v>78.949999999998496</v>
      </c>
      <c r="B1623" s="11">
        <f t="shared" si="27"/>
        <v>3.8213836276408508</v>
      </c>
    </row>
    <row r="1624" spans="1:2" x14ac:dyDescent="0.3">
      <c r="A1624" s="11">
        <v>78.999999999998494</v>
      </c>
      <c r="B1624" s="11">
        <f t="shared" si="27"/>
        <v>3.8117565246060381</v>
      </c>
    </row>
    <row r="1625" spans="1:2" x14ac:dyDescent="0.3">
      <c r="A1625" s="11">
        <v>79.049999999998505</v>
      </c>
      <c r="B1625" s="11">
        <f t="shared" si="27"/>
        <v>3.8021597188748131</v>
      </c>
    </row>
    <row r="1626" spans="1:2" x14ac:dyDescent="0.3">
      <c r="A1626" s="11">
        <v>79.099999999998502</v>
      </c>
      <c r="B1626" s="11">
        <f t="shared" si="27"/>
        <v>3.7925930961021939</v>
      </c>
    </row>
    <row r="1627" spans="1:2" x14ac:dyDescent="0.3">
      <c r="A1627" s="11">
        <v>79.149999999998499</v>
      </c>
      <c r="B1627" s="11">
        <f t="shared" si="27"/>
        <v>3.7830565424463076</v>
      </c>
    </row>
    <row r="1628" spans="1:2" x14ac:dyDescent="0.3">
      <c r="A1628" s="11">
        <v>79.199999999998496</v>
      </c>
      <c r="B1628" s="11">
        <f t="shared" si="27"/>
        <v>3.773549944566025</v>
      </c>
    </row>
    <row r="1629" spans="1:2" x14ac:dyDescent="0.3">
      <c r="A1629" s="11">
        <v>79.249999999998494</v>
      </c>
      <c r="B1629" s="11">
        <f t="shared" si="27"/>
        <v>3.7640731896181938</v>
      </c>
    </row>
    <row r="1630" spans="1:2" x14ac:dyDescent="0.3">
      <c r="A1630" s="11">
        <v>79.299999999998505</v>
      </c>
      <c r="B1630" s="11">
        <f t="shared" si="27"/>
        <v>3.7546261652553565</v>
      </c>
    </row>
    <row r="1631" spans="1:2" x14ac:dyDescent="0.3">
      <c r="A1631" s="11">
        <v>79.349999999998502</v>
      </c>
      <c r="B1631" s="11">
        <f t="shared" si="27"/>
        <v>3.7452087596231278</v>
      </c>
    </row>
    <row r="1632" spans="1:2" x14ac:dyDescent="0.3">
      <c r="A1632" s="11">
        <v>79.399999999998499</v>
      </c>
      <c r="B1632" s="11">
        <f t="shared" si="27"/>
        <v>3.7358208613578285</v>
      </c>
    </row>
    <row r="1633" spans="1:2" x14ac:dyDescent="0.3">
      <c r="A1633" s="11">
        <v>79.449999999998496</v>
      </c>
      <c r="B1633" s="11">
        <f t="shared" si="27"/>
        <v>3.7264623595839694</v>
      </c>
    </row>
    <row r="1634" spans="1:2" x14ac:dyDescent="0.3">
      <c r="A1634" s="11">
        <v>79.499999999998494</v>
      </c>
      <c r="B1634" s="11">
        <f t="shared" si="27"/>
        <v>3.7171331439117088</v>
      </c>
    </row>
    <row r="1635" spans="1:2" x14ac:dyDescent="0.3">
      <c r="A1635" s="11">
        <v>79.549999999998505</v>
      </c>
      <c r="B1635" s="11">
        <f t="shared" si="27"/>
        <v>3.707833104434676</v>
      </c>
    </row>
    <row r="1636" spans="1:2" x14ac:dyDescent="0.3">
      <c r="A1636" s="11">
        <v>79.599999999998502</v>
      </c>
      <c r="B1636" s="11">
        <f t="shared" si="27"/>
        <v>3.6985621317273156</v>
      </c>
    </row>
    <row r="1637" spans="1:2" x14ac:dyDescent="0.3">
      <c r="A1637" s="11">
        <v>79.649999999998499</v>
      </c>
      <c r="B1637" s="11">
        <f t="shared" si="27"/>
        <v>3.6893201168425485</v>
      </c>
    </row>
    <row r="1638" spans="1:2" x14ac:dyDescent="0.3">
      <c r="A1638" s="11">
        <v>79.699999999998496</v>
      </c>
      <c r="B1638" s="11">
        <f t="shared" si="27"/>
        <v>3.6801069513094751</v>
      </c>
    </row>
    <row r="1639" spans="1:2" x14ac:dyDescent="0.3">
      <c r="A1639" s="11">
        <v>79.749999999998494</v>
      </c>
      <c r="B1639" s="11">
        <f t="shared" si="27"/>
        <v>3.6709225271308723</v>
      </c>
    </row>
    <row r="1640" spans="1:2" x14ac:dyDescent="0.3">
      <c r="A1640" s="11">
        <v>79.799999999998505</v>
      </c>
      <c r="B1640" s="11">
        <f t="shared" si="27"/>
        <v>3.6617667367809354</v>
      </c>
    </row>
    <row r="1641" spans="1:2" x14ac:dyDescent="0.3">
      <c r="A1641" s="11">
        <v>79.849999999998502</v>
      </c>
      <c r="B1641" s="11">
        <f t="shared" si="27"/>
        <v>3.652639473202822</v>
      </c>
    </row>
    <row r="1642" spans="1:2" x14ac:dyDescent="0.3">
      <c r="A1642" s="11">
        <v>79.899999999998499</v>
      </c>
      <c r="B1642" s="11">
        <f t="shared" si="27"/>
        <v>3.6435406298064454</v>
      </c>
    </row>
    <row r="1643" spans="1:2" x14ac:dyDescent="0.3">
      <c r="A1643" s="11">
        <v>79.949999999998496</v>
      </c>
      <c r="B1643" s="11">
        <f t="shared" si="27"/>
        <v>3.6344701004660038</v>
      </c>
    </row>
    <row r="1644" spans="1:2" x14ac:dyDescent="0.3">
      <c r="A1644" s="11">
        <v>79.999999999998494</v>
      </c>
      <c r="B1644" s="11">
        <f t="shared" si="27"/>
        <v>3.6254277795177643</v>
      </c>
    </row>
    <row r="1645" spans="1:2" x14ac:dyDescent="0.3">
      <c r="A1645" s="11">
        <v>80.049999999998505</v>
      </c>
      <c r="B1645" s="11">
        <f t="shared" si="27"/>
        <v>3.616413561757799</v>
      </c>
    </row>
    <row r="1646" spans="1:2" x14ac:dyDescent="0.3">
      <c r="A1646" s="11">
        <v>80.099999999998502</v>
      </c>
      <c r="B1646" s="11">
        <f t="shared" ref="B1646:B1709" si="28">374200000/(A1646^5*(EXP(14390/(A1646*Temperature))-1))</f>
        <v>3.6074273424396135</v>
      </c>
    </row>
    <row r="1647" spans="1:2" x14ac:dyDescent="0.3">
      <c r="A1647" s="11">
        <v>80.149999999998499</v>
      </c>
      <c r="B1647" s="11">
        <f t="shared" si="28"/>
        <v>3.5984690172718428</v>
      </c>
    </row>
    <row r="1648" spans="1:2" x14ac:dyDescent="0.3">
      <c r="A1648" s="11">
        <v>80.199999999998496</v>
      </c>
      <c r="B1648" s="11">
        <f t="shared" si="28"/>
        <v>3.5895384824161796</v>
      </c>
    </row>
    <row r="1649" spans="1:2" x14ac:dyDescent="0.3">
      <c r="A1649" s="11">
        <v>80.249999999998494</v>
      </c>
      <c r="B1649" s="11">
        <f t="shared" si="28"/>
        <v>3.5806356344849153</v>
      </c>
    </row>
    <row r="1650" spans="1:2" x14ac:dyDescent="0.3">
      <c r="A1650" s="11">
        <v>80.299999999998505</v>
      </c>
      <c r="B1650" s="11">
        <f t="shared" si="28"/>
        <v>3.5717603705388226</v>
      </c>
    </row>
    <row r="1651" spans="1:2" x14ac:dyDescent="0.3">
      <c r="A1651" s="11">
        <v>80.349999999998502</v>
      </c>
      <c r="B1651" s="11">
        <f t="shared" si="28"/>
        <v>3.5629125880849144</v>
      </c>
    </row>
    <row r="1652" spans="1:2" x14ac:dyDescent="0.3">
      <c r="A1652" s="11">
        <v>80.399999999998499</v>
      </c>
      <c r="B1652" s="11">
        <f t="shared" si="28"/>
        <v>3.5540921850742153</v>
      </c>
    </row>
    <row r="1653" spans="1:2" x14ac:dyDescent="0.3">
      <c r="A1653" s="11">
        <v>80.449999999998496</v>
      </c>
      <c r="B1653" s="11">
        <f t="shared" si="28"/>
        <v>3.5452990598996132</v>
      </c>
    </row>
    <row r="1654" spans="1:2" x14ac:dyDescent="0.3">
      <c r="A1654" s="11">
        <v>80.499999999998494</v>
      </c>
      <c r="B1654" s="11">
        <f t="shared" si="28"/>
        <v>3.5365331113935516</v>
      </c>
    </row>
    <row r="1655" spans="1:2" x14ac:dyDescent="0.3">
      <c r="A1655" s="11">
        <v>80.549999999998505</v>
      </c>
      <c r="B1655" s="11">
        <f t="shared" si="28"/>
        <v>3.5277942388260382</v>
      </c>
    </row>
    <row r="1656" spans="1:2" x14ac:dyDescent="0.3">
      <c r="A1656" s="11">
        <v>80.599999999998502</v>
      </c>
      <c r="B1656" s="11">
        <f t="shared" si="28"/>
        <v>3.5190823419023523</v>
      </c>
    </row>
    <row r="1657" spans="1:2" x14ac:dyDescent="0.3">
      <c r="A1657" s="11">
        <v>80.649999999998499</v>
      </c>
      <c r="B1657" s="11">
        <f t="shared" si="28"/>
        <v>3.5103973207609136</v>
      </c>
    </row>
    <row r="1658" spans="1:2" x14ac:dyDescent="0.3">
      <c r="A1658" s="11">
        <v>80.699999999998496</v>
      </c>
      <c r="B1658" s="11">
        <f t="shared" si="28"/>
        <v>3.5017390759711624</v>
      </c>
    </row>
    <row r="1659" spans="1:2" x14ac:dyDescent="0.3">
      <c r="A1659" s="11">
        <v>80.749999999998494</v>
      </c>
      <c r="B1659" s="11">
        <f t="shared" si="28"/>
        <v>3.4931075085315162</v>
      </c>
    </row>
    <row r="1660" spans="1:2" x14ac:dyDescent="0.3">
      <c r="A1660" s="11">
        <v>80.799999999998505</v>
      </c>
      <c r="B1660" s="11">
        <f t="shared" si="28"/>
        <v>3.4845025198670649</v>
      </c>
    </row>
    <row r="1661" spans="1:2" x14ac:dyDescent="0.3">
      <c r="A1661" s="11">
        <v>80.849999999998502</v>
      </c>
      <c r="B1661" s="11">
        <f t="shared" si="28"/>
        <v>3.4759240118276864</v>
      </c>
    </row>
    <row r="1662" spans="1:2" x14ac:dyDescent="0.3">
      <c r="A1662" s="11">
        <v>80.899999999998499</v>
      </c>
      <c r="B1662" s="11">
        <f t="shared" si="28"/>
        <v>3.4673718866857475</v>
      </c>
    </row>
    <row r="1663" spans="1:2" x14ac:dyDescent="0.3">
      <c r="A1663" s="11">
        <v>80.949999999998496</v>
      </c>
      <c r="B1663" s="11">
        <f t="shared" si="28"/>
        <v>3.4588460471342235</v>
      </c>
    </row>
    <row r="1664" spans="1:2" x14ac:dyDescent="0.3">
      <c r="A1664" s="11">
        <v>80.999999999998494</v>
      </c>
      <c r="B1664" s="11">
        <f t="shared" si="28"/>
        <v>3.4503463962844863</v>
      </c>
    </row>
    <row r="1665" spans="1:2" x14ac:dyDescent="0.3">
      <c r="A1665" s="11">
        <v>81.049999999998505</v>
      </c>
      <c r="B1665" s="11">
        <f t="shared" si="28"/>
        <v>3.4418728376643322</v>
      </c>
    </row>
    <row r="1666" spans="1:2" x14ac:dyDescent="0.3">
      <c r="A1666" s="11">
        <v>81.099999999998502</v>
      </c>
      <c r="B1666" s="11">
        <f t="shared" si="28"/>
        <v>3.4334252752158823</v>
      </c>
    </row>
    <row r="1667" spans="1:2" x14ac:dyDescent="0.3">
      <c r="A1667" s="11">
        <v>81.149999999998499</v>
      </c>
      <c r="B1667" s="11">
        <f t="shared" si="28"/>
        <v>3.4250036132936148</v>
      </c>
    </row>
    <row r="1668" spans="1:2" x14ac:dyDescent="0.3">
      <c r="A1668" s="11">
        <v>81.199999999998496</v>
      </c>
      <c r="B1668" s="11">
        <f t="shared" si="28"/>
        <v>3.4166077566622213</v>
      </c>
    </row>
    <row r="1669" spans="1:2" x14ac:dyDescent="0.3">
      <c r="A1669" s="11">
        <v>81.249999999998494</v>
      </c>
      <c r="B1669" s="11">
        <f t="shared" si="28"/>
        <v>3.4082376104947958</v>
      </c>
    </row>
    <row r="1670" spans="1:2" x14ac:dyDescent="0.3">
      <c r="A1670" s="11">
        <v>81.299999999998505</v>
      </c>
      <c r="B1670" s="11">
        <f t="shared" si="28"/>
        <v>3.3998930803705973</v>
      </c>
    </row>
    <row r="1671" spans="1:2" x14ac:dyDescent="0.3">
      <c r="A1671" s="11">
        <v>81.349999999998502</v>
      </c>
      <c r="B1671" s="11">
        <f t="shared" si="28"/>
        <v>3.3915740722733059</v>
      </c>
    </row>
    <row r="1672" spans="1:2" x14ac:dyDescent="0.3">
      <c r="A1672" s="11">
        <v>81.399999999998499</v>
      </c>
      <c r="B1672" s="11">
        <f t="shared" si="28"/>
        <v>3.3832804925888191</v>
      </c>
    </row>
    <row r="1673" spans="1:2" x14ac:dyDescent="0.3">
      <c r="A1673" s="11">
        <v>81.449999999998496</v>
      </c>
      <c r="B1673" s="11">
        <f t="shared" si="28"/>
        <v>3.3750122481034452</v>
      </c>
    </row>
    <row r="1674" spans="1:2" x14ac:dyDescent="0.3">
      <c r="A1674" s="11">
        <v>81.499999999998494</v>
      </c>
      <c r="B1674" s="11">
        <f t="shared" si="28"/>
        <v>3.3667692460018936</v>
      </c>
    </row>
    <row r="1675" spans="1:2" x14ac:dyDescent="0.3">
      <c r="A1675" s="11">
        <v>81.549999999998505</v>
      </c>
      <c r="B1675" s="11">
        <f t="shared" si="28"/>
        <v>3.3585513938652807</v>
      </c>
    </row>
    <row r="1676" spans="1:2" x14ac:dyDescent="0.3">
      <c r="A1676" s="11">
        <v>81.599999999998502</v>
      </c>
      <c r="B1676" s="11">
        <f t="shared" si="28"/>
        <v>3.3503585996692933</v>
      </c>
    </row>
    <row r="1677" spans="1:2" x14ac:dyDescent="0.3">
      <c r="A1677" s="11">
        <v>81.649999999998499</v>
      </c>
      <c r="B1677" s="11">
        <f t="shared" si="28"/>
        <v>3.342190771782211</v>
      </c>
    </row>
    <row r="1678" spans="1:2" x14ac:dyDescent="0.3">
      <c r="A1678" s="11">
        <v>81.699999999998496</v>
      </c>
      <c r="B1678" s="11">
        <f t="shared" si="28"/>
        <v>3.3340478189629632</v>
      </c>
    </row>
    <row r="1679" spans="1:2" x14ac:dyDescent="0.3">
      <c r="A1679" s="11">
        <v>81.749999999998494</v>
      </c>
      <c r="B1679" s="11">
        <f t="shared" si="28"/>
        <v>3.3259296503593125</v>
      </c>
    </row>
    <row r="1680" spans="1:2" x14ac:dyDescent="0.3">
      <c r="A1680" s="11">
        <v>81.799999999998505</v>
      </c>
      <c r="B1680" s="11">
        <f t="shared" si="28"/>
        <v>3.3178361755058452</v>
      </c>
    </row>
    <row r="1681" spans="1:2" x14ac:dyDescent="0.3">
      <c r="A1681" s="11">
        <v>81.849999999998502</v>
      </c>
      <c r="B1681" s="11">
        <f t="shared" si="28"/>
        <v>3.3097673043222096</v>
      </c>
    </row>
    <row r="1682" spans="1:2" x14ac:dyDescent="0.3">
      <c r="A1682" s="11">
        <v>81.899999999998499</v>
      </c>
      <c r="B1682" s="11">
        <f t="shared" si="28"/>
        <v>3.3017229471111711</v>
      </c>
    </row>
    <row r="1683" spans="1:2" x14ac:dyDescent="0.3">
      <c r="A1683" s="11">
        <v>81.949999999998496</v>
      </c>
      <c r="B1683" s="11">
        <f t="shared" si="28"/>
        <v>3.2937030145567423</v>
      </c>
    </row>
    <row r="1684" spans="1:2" x14ac:dyDescent="0.3">
      <c r="A1684" s="11">
        <v>81.999999999998494</v>
      </c>
      <c r="B1684" s="11">
        <f t="shared" si="28"/>
        <v>3.2857074177224423</v>
      </c>
    </row>
    <row r="1685" spans="1:2" x14ac:dyDescent="0.3">
      <c r="A1685" s="11">
        <v>82.049999999998505</v>
      </c>
      <c r="B1685" s="11">
        <f t="shared" si="28"/>
        <v>3.2777360680492671</v>
      </c>
    </row>
    <row r="1686" spans="1:2" x14ac:dyDescent="0.3">
      <c r="A1686" s="11">
        <v>82.099999999998502</v>
      </c>
      <c r="B1686" s="11">
        <f t="shared" si="28"/>
        <v>3.269788877354034</v>
      </c>
    </row>
    <row r="1687" spans="1:2" x14ac:dyDescent="0.3">
      <c r="A1687" s="11">
        <v>82.149999999998499</v>
      </c>
      <c r="B1687" s="11">
        <f t="shared" si="28"/>
        <v>3.2618657578274766</v>
      </c>
    </row>
    <row r="1688" spans="1:2" x14ac:dyDescent="0.3">
      <c r="A1688" s="11">
        <v>82.199999999998496</v>
      </c>
      <c r="B1688" s="11">
        <f t="shared" si="28"/>
        <v>3.253966622032455</v>
      </c>
    </row>
    <row r="1689" spans="1:2" x14ac:dyDescent="0.3">
      <c r="A1689" s="11">
        <v>82.249999999998494</v>
      </c>
      <c r="B1689" s="11">
        <f t="shared" si="28"/>
        <v>3.2460913829021267</v>
      </c>
    </row>
    <row r="1690" spans="1:2" x14ac:dyDescent="0.3">
      <c r="A1690" s="11">
        <v>82.299999999998505</v>
      </c>
      <c r="B1690" s="11">
        <f t="shared" si="28"/>
        <v>3.2382399537381557</v>
      </c>
    </row>
    <row r="1691" spans="1:2" x14ac:dyDescent="0.3">
      <c r="A1691" s="11">
        <v>82.349999999998502</v>
      </c>
      <c r="B1691" s="11">
        <f t="shared" si="28"/>
        <v>3.2304122482090478</v>
      </c>
    </row>
    <row r="1692" spans="1:2" x14ac:dyDescent="0.3">
      <c r="A1692" s="11">
        <v>82.399999999998499</v>
      </c>
      <c r="B1692" s="11">
        <f t="shared" si="28"/>
        <v>3.2226081803481721</v>
      </c>
    </row>
    <row r="1693" spans="1:2" x14ac:dyDescent="0.3">
      <c r="A1693" s="11">
        <v>82.449999999998496</v>
      </c>
      <c r="B1693" s="11">
        <f t="shared" si="28"/>
        <v>3.2148276645521761</v>
      </c>
    </row>
    <row r="1694" spans="1:2" x14ac:dyDescent="0.3">
      <c r="A1694" s="11">
        <v>82.499999999998494</v>
      </c>
      <c r="B1694" s="11">
        <f t="shared" si="28"/>
        <v>3.2070706155791298</v>
      </c>
    </row>
    <row r="1695" spans="1:2" x14ac:dyDescent="0.3">
      <c r="A1695" s="11">
        <v>82.549999999998505</v>
      </c>
      <c r="B1695" s="11">
        <f t="shared" si="28"/>
        <v>3.1993369485468413</v>
      </c>
    </row>
    <row r="1696" spans="1:2" x14ac:dyDescent="0.3">
      <c r="A1696" s="11">
        <v>82.599999999998403</v>
      </c>
      <c r="B1696" s="11">
        <f t="shared" si="28"/>
        <v>3.1916265789311158</v>
      </c>
    </row>
    <row r="1697" spans="1:2" x14ac:dyDescent="0.3">
      <c r="A1697" s="11">
        <v>82.649999999998499</v>
      </c>
      <c r="B1697" s="11">
        <f t="shared" si="28"/>
        <v>3.183939422563955</v>
      </c>
    </row>
    <row r="1698" spans="1:2" x14ac:dyDescent="0.3">
      <c r="A1698" s="11">
        <v>82.699999999998496</v>
      </c>
      <c r="B1698" s="11">
        <f t="shared" si="28"/>
        <v>3.1762753956319676</v>
      </c>
    </row>
    <row r="1699" spans="1:2" x14ac:dyDescent="0.3">
      <c r="A1699" s="11">
        <v>82.749999999998494</v>
      </c>
      <c r="B1699" s="11">
        <f t="shared" si="28"/>
        <v>3.1686344146745946</v>
      </c>
    </row>
    <row r="1700" spans="1:2" x14ac:dyDescent="0.3">
      <c r="A1700" s="11">
        <v>82.799999999998505</v>
      </c>
      <c r="B1700" s="11">
        <f t="shared" si="28"/>
        <v>3.1610163965823599</v>
      </c>
    </row>
    <row r="1701" spans="1:2" x14ac:dyDescent="0.3">
      <c r="A1701" s="11">
        <v>82.849999999998403</v>
      </c>
      <c r="B1701" s="11">
        <f t="shared" si="28"/>
        <v>3.1534212585952979</v>
      </c>
    </row>
    <row r="1702" spans="1:2" x14ac:dyDescent="0.3">
      <c r="A1702" s="11">
        <v>82.8999999999984</v>
      </c>
      <c r="B1702" s="11">
        <f t="shared" si="28"/>
        <v>3.1458489183011964</v>
      </c>
    </row>
    <row r="1703" spans="1:2" x14ac:dyDescent="0.3">
      <c r="A1703" s="11">
        <v>82.949999999998397</v>
      </c>
      <c r="B1703" s="11">
        <f t="shared" si="28"/>
        <v>3.1382992936339251</v>
      </c>
    </row>
    <row r="1704" spans="1:2" x14ac:dyDescent="0.3">
      <c r="A1704" s="11">
        <v>82.999999999998394</v>
      </c>
      <c r="B1704" s="11">
        <f t="shared" si="28"/>
        <v>3.1307723028718306</v>
      </c>
    </row>
    <row r="1705" spans="1:2" x14ac:dyDescent="0.3">
      <c r="A1705" s="11">
        <v>83.049999999998406</v>
      </c>
      <c r="B1705" s="11">
        <f t="shared" si="28"/>
        <v>3.1232678646360883</v>
      </c>
    </row>
    <row r="1706" spans="1:2" x14ac:dyDescent="0.3">
      <c r="A1706" s="11">
        <v>83.099999999998403</v>
      </c>
      <c r="B1706" s="11">
        <f t="shared" si="28"/>
        <v>3.115785897888923</v>
      </c>
    </row>
    <row r="1707" spans="1:2" x14ac:dyDescent="0.3">
      <c r="A1707" s="11">
        <v>83.1499999999984</v>
      </c>
      <c r="B1707" s="11">
        <f t="shared" si="28"/>
        <v>3.1083263219321582</v>
      </c>
    </row>
    <row r="1708" spans="1:2" x14ac:dyDescent="0.3">
      <c r="A1708" s="11">
        <v>83.199999999998397</v>
      </c>
      <c r="B1708" s="11">
        <f t="shared" si="28"/>
        <v>3.1008890564055274</v>
      </c>
    </row>
    <row r="1709" spans="1:2" x14ac:dyDescent="0.3">
      <c r="A1709" s="11">
        <v>83.249999999998394</v>
      </c>
      <c r="B1709" s="11">
        <f t="shared" si="28"/>
        <v>3.0934740212849481</v>
      </c>
    </row>
    <row r="1710" spans="1:2" x14ac:dyDescent="0.3">
      <c r="A1710" s="11">
        <v>83.299999999998406</v>
      </c>
      <c r="B1710" s="11">
        <f t="shared" ref="B1710:B1773" si="29">374200000/(A1710^5*(EXP(14390/(A1710*Temperature))-1))</f>
        <v>3.0860811368810928</v>
      </c>
    </row>
    <row r="1711" spans="1:2" x14ac:dyDescent="0.3">
      <c r="A1711" s="11">
        <v>83.349999999998403</v>
      </c>
      <c r="B1711" s="11">
        <f t="shared" si="29"/>
        <v>3.0787103238376745</v>
      </c>
    </row>
    <row r="1712" spans="1:2" x14ac:dyDescent="0.3">
      <c r="A1712" s="11">
        <v>83.3999999999984</v>
      </c>
      <c r="B1712" s="11">
        <f t="shared" si="29"/>
        <v>3.0713615031299</v>
      </c>
    </row>
    <row r="1713" spans="1:2" x14ac:dyDescent="0.3">
      <c r="A1713" s="11">
        <v>83.449999999998397</v>
      </c>
      <c r="B1713" s="11">
        <f t="shared" si="29"/>
        <v>3.0640345960628474</v>
      </c>
    </row>
    <row r="1714" spans="1:2" x14ac:dyDescent="0.3">
      <c r="A1714" s="11">
        <v>83.499999999998394</v>
      </c>
      <c r="B1714" s="11">
        <f t="shared" si="29"/>
        <v>3.0567295242699299</v>
      </c>
    </row>
    <row r="1715" spans="1:2" x14ac:dyDescent="0.3">
      <c r="A1715" s="11">
        <v>83.549999999998406</v>
      </c>
      <c r="B1715" s="11">
        <f t="shared" si="29"/>
        <v>3.0494462097113808</v>
      </c>
    </row>
    <row r="1716" spans="1:2" x14ac:dyDescent="0.3">
      <c r="A1716" s="11">
        <v>83.599999999998403</v>
      </c>
      <c r="B1716" s="11">
        <f t="shared" si="29"/>
        <v>3.0421845746725715</v>
      </c>
    </row>
    <row r="1717" spans="1:2" x14ac:dyDescent="0.3">
      <c r="A1717" s="11">
        <v>83.6499999999984</v>
      </c>
      <c r="B1717" s="11">
        <f t="shared" si="29"/>
        <v>3.0349445417625267</v>
      </c>
    </row>
    <row r="1718" spans="1:2" x14ac:dyDescent="0.3">
      <c r="A1718" s="11">
        <v>83.699999999998397</v>
      </c>
      <c r="B1718" s="11">
        <f t="shared" si="29"/>
        <v>3.0277260339124781</v>
      </c>
    </row>
    <row r="1719" spans="1:2" x14ac:dyDescent="0.3">
      <c r="A1719" s="11">
        <v>83.749999999998394</v>
      </c>
      <c r="B1719" s="11">
        <f t="shared" si="29"/>
        <v>3.0205289743741224</v>
      </c>
    </row>
    <row r="1720" spans="1:2" x14ac:dyDescent="0.3">
      <c r="A1720" s="11">
        <v>83.799999999998406</v>
      </c>
      <c r="B1720" s="11">
        <f t="shared" si="29"/>
        <v>3.0133532867183099</v>
      </c>
    </row>
    <row r="1721" spans="1:2" x14ac:dyDescent="0.3">
      <c r="A1721" s="11">
        <v>83.849999999998403</v>
      </c>
      <c r="B1721" s="11">
        <f t="shared" si="29"/>
        <v>3.0061988948334228</v>
      </c>
    </row>
    <row r="1722" spans="1:2" x14ac:dyDescent="0.3">
      <c r="A1722" s="11">
        <v>83.8999999999984</v>
      </c>
      <c r="B1722" s="11">
        <f t="shared" si="29"/>
        <v>2.9990657229238646</v>
      </c>
    </row>
    <row r="1723" spans="1:2" x14ac:dyDescent="0.3">
      <c r="A1723" s="11">
        <v>83.949999999998397</v>
      </c>
      <c r="B1723" s="11">
        <f t="shared" si="29"/>
        <v>2.9919536955085917</v>
      </c>
    </row>
    <row r="1724" spans="1:2" x14ac:dyDescent="0.3">
      <c r="A1724" s="11">
        <v>83.999999999998394</v>
      </c>
      <c r="B1724" s="11">
        <f t="shared" si="29"/>
        <v>2.9848627374196077</v>
      </c>
    </row>
    <row r="1725" spans="1:2" x14ac:dyDescent="0.3">
      <c r="A1725" s="11">
        <v>84.049999999998406</v>
      </c>
      <c r="B1725" s="11">
        <f t="shared" si="29"/>
        <v>2.9777927738005174</v>
      </c>
    </row>
    <row r="1726" spans="1:2" x14ac:dyDescent="0.3">
      <c r="A1726" s="11">
        <v>84.099999999998403</v>
      </c>
      <c r="B1726" s="11">
        <f t="shared" si="29"/>
        <v>2.9707437301049908</v>
      </c>
    </row>
    <row r="1727" spans="1:2" x14ac:dyDescent="0.3">
      <c r="A1727" s="11">
        <v>84.1499999999984</v>
      </c>
      <c r="B1727" s="11">
        <f t="shared" si="29"/>
        <v>2.9637155320953164</v>
      </c>
    </row>
    <row r="1728" spans="1:2" x14ac:dyDescent="0.3">
      <c r="A1728" s="11">
        <v>84.199999999998397</v>
      </c>
      <c r="B1728" s="11">
        <f t="shared" si="29"/>
        <v>2.9567081058409888</v>
      </c>
    </row>
    <row r="1729" spans="1:2" x14ac:dyDescent="0.3">
      <c r="A1729" s="11">
        <v>84.249999999998394</v>
      </c>
      <c r="B1729" s="11">
        <f t="shared" si="29"/>
        <v>2.9497213777171623</v>
      </c>
    </row>
    <row r="1730" spans="1:2" x14ac:dyDescent="0.3">
      <c r="A1730" s="11">
        <v>84.299999999998406</v>
      </c>
      <c r="B1730" s="11">
        <f t="shared" si="29"/>
        <v>2.9427552744033254</v>
      </c>
    </row>
    <row r="1731" spans="1:2" x14ac:dyDescent="0.3">
      <c r="A1731" s="11">
        <v>84.349999999998403</v>
      </c>
      <c r="B1731" s="11">
        <f t="shared" si="29"/>
        <v>2.9358097228817668</v>
      </c>
    </row>
    <row r="1732" spans="1:2" x14ac:dyDescent="0.3">
      <c r="A1732" s="11">
        <v>84.3999999999984</v>
      </c>
      <c r="B1732" s="11">
        <f t="shared" si="29"/>
        <v>2.9288846504362045</v>
      </c>
    </row>
    <row r="1733" spans="1:2" x14ac:dyDescent="0.3">
      <c r="A1733" s="11">
        <v>84.449999999998397</v>
      </c>
      <c r="B1733" s="11">
        <f t="shared" si="29"/>
        <v>2.921979984650287</v>
      </c>
    </row>
    <row r="1734" spans="1:2" x14ac:dyDescent="0.3">
      <c r="A1734" s="11">
        <v>84.499999999998394</v>
      </c>
      <c r="B1734" s="11">
        <f t="shared" si="29"/>
        <v>2.9150956534063215</v>
      </c>
    </row>
    <row r="1735" spans="1:2" x14ac:dyDescent="0.3">
      <c r="A1735" s="11">
        <v>84.549999999998406</v>
      </c>
      <c r="B1735" s="11">
        <f t="shared" si="29"/>
        <v>2.9082315848837119</v>
      </c>
    </row>
    <row r="1736" spans="1:2" x14ac:dyDescent="0.3">
      <c r="A1736" s="11">
        <v>84.599999999998403</v>
      </c>
      <c r="B1736" s="11">
        <f t="shared" si="29"/>
        <v>2.901387707557685</v>
      </c>
    </row>
    <row r="1737" spans="1:2" x14ac:dyDescent="0.3">
      <c r="A1737" s="11">
        <v>84.6499999999984</v>
      </c>
      <c r="B1737" s="11">
        <f t="shared" si="29"/>
        <v>2.8945639501978024</v>
      </c>
    </row>
    <row r="1738" spans="1:2" x14ac:dyDescent="0.3">
      <c r="A1738" s="11">
        <v>84.699999999998397</v>
      </c>
      <c r="B1738" s="11">
        <f t="shared" si="29"/>
        <v>2.8877602418666206</v>
      </c>
    </row>
    <row r="1739" spans="1:2" x14ac:dyDescent="0.3">
      <c r="A1739" s="11">
        <v>84.749999999998394</v>
      </c>
      <c r="B1739" s="11">
        <f t="shared" si="29"/>
        <v>2.8809765119183268</v>
      </c>
    </row>
    <row r="1740" spans="1:2" x14ac:dyDescent="0.3">
      <c r="A1740" s="11">
        <v>84.799999999998406</v>
      </c>
      <c r="B1740" s="11">
        <f t="shared" si="29"/>
        <v>2.8742126899973641</v>
      </c>
    </row>
    <row r="1741" spans="1:2" x14ac:dyDescent="0.3">
      <c r="A1741" s="11">
        <v>84.849999999998403</v>
      </c>
      <c r="B1741" s="11">
        <f t="shared" si="29"/>
        <v>2.8674687060370734</v>
      </c>
    </row>
    <row r="1742" spans="1:2" x14ac:dyDescent="0.3">
      <c r="A1742" s="11">
        <v>84.8999999999984</v>
      </c>
      <c r="B1742" s="11">
        <f t="shared" si="29"/>
        <v>2.8607444902582757</v>
      </c>
    </row>
    <row r="1743" spans="1:2" x14ac:dyDescent="0.3">
      <c r="A1743" s="11">
        <v>84.949999999998397</v>
      </c>
      <c r="B1743" s="11">
        <f t="shared" si="29"/>
        <v>2.8540399731679948</v>
      </c>
    </row>
    <row r="1744" spans="1:2" x14ac:dyDescent="0.3">
      <c r="A1744" s="11">
        <v>84.999999999998394</v>
      </c>
      <c r="B1744" s="11">
        <f t="shared" si="29"/>
        <v>2.8473550855581284</v>
      </c>
    </row>
    <row r="1745" spans="1:2" x14ac:dyDescent="0.3">
      <c r="A1745" s="11">
        <v>85.049999999998406</v>
      </c>
      <c r="B1745" s="11">
        <f t="shared" si="29"/>
        <v>2.8406897585040691</v>
      </c>
    </row>
    <row r="1746" spans="1:2" x14ac:dyDescent="0.3">
      <c r="A1746" s="11">
        <v>85.099999999998403</v>
      </c>
      <c r="B1746" s="11">
        <f t="shared" si="29"/>
        <v>2.8340439233633559</v>
      </c>
    </row>
    <row r="1747" spans="1:2" x14ac:dyDescent="0.3">
      <c r="A1747" s="11">
        <v>85.1499999999984</v>
      </c>
      <c r="B1747" s="11">
        <f t="shared" si="29"/>
        <v>2.8274175117744482</v>
      </c>
    </row>
    <row r="1748" spans="1:2" x14ac:dyDescent="0.3">
      <c r="A1748" s="11">
        <v>85.199999999998397</v>
      </c>
      <c r="B1748" s="11">
        <f t="shared" si="29"/>
        <v>2.8208104556552853</v>
      </c>
    </row>
    <row r="1749" spans="1:2" x14ac:dyDescent="0.3">
      <c r="A1749" s="11">
        <v>85.249999999998394</v>
      </c>
      <c r="B1749" s="11">
        <f t="shared" si="29"/>
        <v>2.8142226872021285</v>
      </c>
    </row>
    <row r="1750" spans="1:2" x14ac:dyDescent="0.3">
      <c r="A1750" s="11">
        <v>85.299999999998406</v>
      </c>
      <c r="B1750" s="11">
        <f t="shared" si="29"/>
        <v>2.8076541388881431</v>
      </c>
    </row>
    <row r="1751" spans="1:2" x14ac:dyDescent="0.3">
      <c r="A1751" s="11">
        <v>85.349999999998403</v>
      </c>
      <c r="B1751" s="11">
        <f t="shared" si="29"/>
        <v>2.8011047434621394</v>
      </c>
    </row>
    <row r="1752" spans="1:2" x14ac:dyDescent="0.3">
      <c r="A1752" s="11">
        <v>85.3999999999984</v>
      </c>
      <c r="B1752" s="11">
        <f t="shared" si="29"/>
        <v>2.7945744339473064</v>
      </c>
    </row>
    <row r="1753" spans="1:2" x14ac:dyDescent="0.3">
      <c r="A1753" s="11">
        <v>85.449999999998397</v>
      </c>
      <c r="B1753" s="11">
        <f t="shared" si="29"/>
        <v>2.7880631436399228</v>
      </c>
    </row>
    <row r="1754" spans="1:2" x14ac:dyDescent="0.3">
      <c r="A1754" s="11">
        <v>85.499999999998394</v>
      </c>
      <c r="B1754" s="11">
        <f t="shared" si="29"/>
        <v>2.7815708061081144</v>
      </c>
    </row>
    <row r="1755" spans="1:2" x14ac:dyDescent="0.3">
      <c r="A1755" s="11">
        <v>85.549999999998406</v>
      </c>
      <c r="B1755" s="11">
        <f t="shared" si="29"/>
        <v>2.7750973551905265</v>
      </c>
    </row>
    <row r="1756" spans="1:2" x14ac:dyDescent="0.3">
      <c r="A1756" s="11">
        <v>85.599999999998403</v>
      </c>
      <c r="B1756" s="11">
        <f t="shared" si="29"/>
        <v>2.7686427249950665</v>
      </c>
    </row>
    <row r="1757" spans="1:2" x14ac:dyDescent="0.3">
      <c r="A1757" s="11">
        <v>85.6499999999984</v>
      </c>
      <c r="B1757" s="11">
        <f t="shared" si="29"/>
        <v>2.7622068498977863</v>
      </c>
    </row>
    <row r="1758" spans="1:2" x14ac:dyDescent="0.3">
      <c r="A1758" s="11">
        <v>85.699999999998397</v>
      </c>
      <c r="B1758" s="11">
        <f t="shared" si="29"/>
        <v>2.7557896645414264</v>
      </c>
    </row>
    <row r="1759" spans="1:2" x14ac:dyDescent="0.3">
      <c r="A1759" s="11">
        <v>85.749999999998394</v>
      </c>
      <c r="B1759" s="11">
        <f t="shared" si="29"/>
        <v>2.7493911038343439</v>
      </c>
    </row>
    <row r="1760" spans="1:2" x14ac:dyDescent="0.3">
      <c r="A1760" s="11">
        <v>85.799999999998406</v>
      </c>
      <c r="B1760" s="11">
        <f t="shared" si="29"/>
        <v>2.7430111029492124</v>
      </c>
    </row>
    <row r="1761" spans="1:2" x14ac:dyDescent="0.3">
      <c r="A1761" s="11">
        <v>85.849999999998403</v>
      </c>
      <c r="B1761" s="11">
        <f t="shared" si="29"/>
        <v>2.7366495973218172</v>
      </c>
    </row>
    <row r="1762" spans="1:2" x14ac:dyDescent="0.3">
      <c r="A1762" s="11">
        <v>85.8999999999984</v>
      </c>
      <c r="B1762" s="11">
        <f t="shared" si="29"/>
        <v>2.7303065226497636</v>
      </c>
    </row>
    <row r="1763" spans="1:2" x14ac:dyDescent="0.3">
      <c r="A1763" s="11">
        <v>85.949999999998397</v>
      </c>
      <c r="B1763" s="11">
        <f t="shared" si="29"/>
        <v>2.7239818148914301</v>
      </c>
    </row>
    <row r="1764" spans="1:2" x14ac:dyDescent="0.3">
      <c r="A1764" s="11">
        <v>85.999999999998394</v>
      </c>
      <c r="B1764" s="11">
        <f t="shared" si="29"/>
        <v>2.7176754102645315</v>
      </c>
    </row>
    <row r="1765" spans="1:2" x14ac:dyDescent="0.3">
      <c r="A1765" s="11">
        <v>86.049999999998406</v>
      </c>
      <c r="B1765" s="11">
        <f t="shared" si="29"/>
        <v>2.7113872452451417</v>
      </c>
    </row>
    <row r="1766" spans="1:2" x14ac:dyDescent="0.3">
      <c r="A1766" s="11">
        <v>86.099999999998403</v>
      </c>
      <c r="B1766" s="11">
        <f t="shared" si="29"/>
        <v>2.7051172565663766</v>
      </c>
    </row>
    <row r="1767" spans="1:2" x14ac:dyDescent="0.3">
      <c r="A1767" s="11">
        <v>86.1499999999984</v>
      </c>
      <c r="B1767" s="11">
        <f t="shared" si="29"/>
        <v>2.6988653812171561</v>
      </c>
    </row>
    <row r="1768" spans="1:2" x14ac:dyDescent="0.3">
      <c r="A1768" s="11">
        <v>86.199999999998397</v>
      </c>
      <c r="B1768" s="11">
        <f t="shared" si="29"/>
        <v>2.6926315564412069</v>
      </c>
    </row>
    <row r="1769" spans="1:2" x14ac:dyDescent="0.3">
      <c r="A1769" s="11">
        <v>86.249999999998394</v>
      </c>
      <c r="B1769" s="11">
        <f t="shared" si="29"/>
        <v>2.686415719735701</v>
      </c>
    </row>
    <row r="1770" spans="1:2" x14ac:dyDescent="0.3">
      <c r="A1770" s="11">
        <v>86.299999999998406</v>
      </c>
      <c r="B1770" s="11">
        <f t="shared" si="29"/>
        <v>2.6802178088501818</v>
      </c>
    </row>
    <row r="1771" spans="1:2" x14ac:dyDescent="0.3">
      <c r="A1771" s="11">
        <v>86.349999999998403</v>
      </c>
      <c r="B1771" s="11">
        <f t="shared" si="29"/>
        <v>2.6740377617853683</v>
      </c>
    </row>
    <row r="1772" spans="1:2" x14ac:dyDescent="0.3">
      <c r="A1772" s="11">
        <v>86.3999999999984</v>
      </c>
      <c r="B1772" s="11">
        <f t="shared" si="29"/>
        <v>2.6678755167920198</v>
      </c>
    </row>
    <row r="1773" spans="1:2" x14ac:dyDescent="0.3">
      <c r="A1773" s="11">
        <v>86.449999999998397</v>
      </c>
      <c r="B1773" s="11">
        <f t="shared" si="29"/>
        <v>2.6617310123697555</v>
      </c>
    </row>
    <row r="1774" spans="1:2" x14ac:dyDescent="0.3">
      <c r="A1774" s="11">
        <v>86.499999999998394</v>
      </c>
      <c r="B1774" s="11">
        <f t="shared" ref="B1774:B1837" si="30">374200000/(A1774^5*(EXP(14390/(A1774*Temperature))-1))</f>
        <v>2.6556041872659364</v>
      </c>
    </row>
    <row r="1775" spans="1:2" x14ac:dyDescent="0.3">
      <c r="A1775" s="11">
        <v>86.549999999998406</v>
      </c>
      <c r="B1775" s="11">
        <f t="shared" si="30"/>
        <v>2.6494949804745329</v>
      </c>
    </row>
    <row r="1776" spans="1:2" x14ac:dyDescent="0.3">
      <c r="A1776" s="11">
        <v>86.599999999998403</v>
      </c>
      <c r="B1776" s="11">
        <f t="shared" si="30"/>
        <v>2.6434033312349245</v>
      </c>
    </row>
    <row r="1777" spans="1:2" x14ac:dyDescent="0.3">
      <c r="A1777" s="11">
        <v>86.6499999999984</v>
      </c>
      <c r="B1777" s="11">
        <f t="shared" si="30"/>
        <v>2.6373291790308682</v>
      </c>
    </row>
    <row r="1778" spans="1:2" x14ac:dyDescent="0.3">
      <c r="A1778" s="11">
        <v>86.699999999998397</v>
      </c>
      <c r="B1778" s="11">
        <f t="shared" si="30"/>
        <v>2.631272463589279</v>
      </c>
    </row>
    <row r="1779" spans="1:2" x14ac:dyDescent="0.3">
      <c r="A1779" s="11">
        <v>86.749999999998394</v>
      </c>
      <c r="B1779" s="11">
        <f t="shared" si="30"/>
        <v>2.625233124879228</v>
      </c>
    </row>
    <row r="1780" spans="1:2" x14ac:dyDescent="0.3">
      <c r="A1780" s="11">
        <v>86.799999999998406</v>
      </c>
      <c r="B1780" s="11">
        <f t="shared" si="30"/>
        <v>2.6192111031106911</v>
      </c>
    </row>
    <row r="1781" spans="1:2" x14ac:dyDescent="0.3">
      <c r="A1781" s="11">
        <v>86.849999999998403</v>
      </c>
      <c r="B1781" s="11">
        <f t="shared" si="30"/>
        <v>2.6132063387335696</v>
      </c>
    </row>
    <row r="1782" spans="1:2" x14ac:dyDescent="0.3">
      <c r="A1782" s="11">
        <v>86.8999999999984</v>
      </c>
      <c r="B1782" s="11">
        <f t="shared" si="30"/>
        <v>2.6072187724364957</v>
      </c>
    </row>
    <row r="1783" spans="1:2" x14ac:dyDescent="0.3">
      <c r="A1783" s="11">
        <v>86.949999999998397</v>
      </c>
      <c r="B1783" s="11">
        <f t="shared" si="30"/>
        <v>2.6012483451458706</v>
      </c>
    </row>
    <row r="1784" spans="1:2" x14ac:dyDescent="0.3">
      <c r="A1784" s="11">
        <v>86.999999999998394</v>
      </c>
      <c r="B1784" s="11">
        <f t="shared" si="30"/>
        <v>2.5952949980245683</v>
      </c>
    </row>
    <row r="1785" spans="1:2" x14ac:dyDescent="0.3">
      <c r="A1785" s="11">
        <v>87.049999999998406</v>
      </c>
      <c r="B1785" s="11">
        <f t="shared" si="30"/>
        <v>2.5893586724710724</v>
      </c>
    </row>
    <row r="1786" spans="1:2" x14ac:dyDescent="0.3">
      <c r="A1786" s="11">
        <v>87.099999999998403</v>
      </c>
      <c r="B1786" s="11">
        <f t="shared" si="30"/>
        <v>2.5834393101182465</v>
      </c>
    </row>
    <row r="1787" spans="1:2" x14ac:dyDescent="0.3">
      <c r="A1787" s="11">
        <v>87.1499999999984</v>
      </c>
      <c r="B1787" s="11">
        <f t="shared" si="30"/>
        <v>2.5775368528323686</v>
      </c>
    </row>
    <row r="1788" spans="1:2" x14ac:dyDescent="0.3">
      <c r="A1788" s="11">
        <v>87.199999999998397</v>
      </c>
      <c r="B1788" s="11">
        <f t="shared" si="30"/>
        <v>2.5716512427119347</v>
      </c>
    </row>
    <row r="1789" spans="1:2" x14ac:dyDescent="0.3">
      <c r="A1789" s="11">
        <v>87.249999999998394</v>
      </c>
      <c r="B1789" s="11">
        <f t="shared" si="30"/>
        <v>2.5657824220867718</v>
      </c>
    </row>
    <row r="1790" spans="1:2" x14ac:dyDescent="0.3">
      <c r="A1790" s="11">
        <v>87.299999999998406</v>
      </c>
      <c r="B1790" s="11">
        <f t="shared" si="30"/>
        <v>2.559930333516808</v>
      </c>
    </row>
    <row r="1791" spans="1:2" x14ac:dyDescent="0.3">
      <c r="A1791" s="11">
        <v>87.349999999998303</v>
      </c>
      <c r="B1791" s="11">
        <f t="shared" si="30"/>
        <v>2.5540949197911744</v>
      </c>
    </row>
    <row r="1792" spans="1:2" x14ac:dyDescent="0.3">
      <c r="A1792" s="11">
        <v>87.3999999999983</v>
      </c>
      <c r="B1792" s="11">
        <f t="shared" si="30"/>
        <v>2.5482761239270175</v>
      </c>
    </row>
    <row r="1793" spans="1:2" x14ac:dyDescent="0.3">
      <c r="A1793" s="11">
        <v>87.449999999998397</v>
      </c>
      <c r="B1793" s="11">
        <f t="shared" si="30"/>
        <v>2.5424738891685812</v>
      </c>
    </row>
    <row r="1794" spans="1:2" x14ac:dyDescent="0.3">
      <c r="A1794" s="11">
        <v>87.499999999998394</v>
      </c>
      <c r="B1794" s="11">
        <f t="shared" si="30"/>
        <v>2.536688158986145</v>
      </c>
    </row>
    <row r="1795" spans="1:2" x14ac:dyDescent="0.3">
      <c r="A1795" s="11">
        <v>87.549999999998406</v>
      </c>
      <c r="B1795" s="11">
        <f t="shared" si="30"/>
        <v>2.5309188770749476</v>
      </c>
    </row>
    <row r="1796" spans="1:2" x14ac:dyDescent="0.3">
      <c r="A1796" s="11">
        <v>87.599999999998303</v>
      </c>
      <c r="B1796" s="11">
        <f t="shared" si="30"/>
        <v>2.5251659873541987</v>
      </c>
    </row>
    <row r="1797" spans="1:2" x14ac:dyDescent="0.3">
      <c r="A1797" s="11">
        <v>87.6499999999983</v>
      </c>
      <c r="B1797" s="11">
        <f t="shared" si="30"/>
        <v>2.5194294339660619</v>
      </c>
    </row>
    <row r="1798" spans="1:2" x14ac:dyDescent="0.3">
      <c r="A1798" s="11">
        <v>87.699999999998298</v>
      </c>
      <c r="B1798" s="11">
        <f t="shared" si="30"/>
        <v>2.5137091612745937</v>
      </c>
    </row>
    <row r="1799" spans="1:2" x14ac:dyDescent="0.3">
      <c r="A1799" s="11">
        <v>87.749999999998295</v>
      </c>
      <c r="B1799" s="11">
        <f t="shared" si="30"/>
        <v>2.5080051138648742</v>
      </c>
    </row>
    <row r="1800" spans="1:2" x14ac:dyDescent="0.3">
      <c r="A1800" s="11">
        <v>87.799999999998306</v>
      </c>
      <c r="B1800" s="11">
        <f t="shared" si="30"/>
        <v>2.5023172365418236</v>
      </c>
    </row>
    <row r="1801" spans="1:2" x14ac:dyDescent="0.3">
      <c r="A1801" s="11">
        <v>87.849999999998303</v>
      </c>
      <c r="B1801" s="11">
        <f t="shared" si="30"/>
        <v>2.4966454743293296</v>
      </c>
    </row>
    <row r="1802" spans="1:2" x14ac:dyDescent="0.3">
      <c r="A1802" s="11">
        <v>87.8999999999983</v>
      </c>
      <c r="B1802" s="11">
        <f t="shared" si="30"/>
        <v>2.4909897724692214</v>
      </c>
    </row>
    <row r="1803" spans="1:2" x14ac:dyDescent="0.3">
      <c r="A1803" s="11">
        <v>87.949999999998298</v>
      </c>
      <c r="B1803" s="11">
        <f t="shared" si="30"/>
        <v>2.4853500764202749</v>
      </c>
    </row>
    <row r="1804" spans="1:2" x14ac:dyDescent="0.3">
      <c r="A1804" s="11">
        <v>87.999999999998295</v>
      </c>
      <c r="B1804" s="11">
        <f t="shared" si="30"/>
        <v>2.4797263318572083</v>
      </c>
    </row>
    <row r="1805" spans="1:2" x14ac:dyDescent="0.3">
      <c r="A1805" s="11">
        <v>88.049999999998306</v>
      </c>
      <c r="B1805" s="11">
        <f t="shared" si="30"/>
        <v>2.4741184846697823</v>
      </c>
    </row>
    <row r="1806" spans="1:2" x14ac:dyDescent="0.3">
      <c r="A1806" s="11">
        <v>88.099999999998303</v>
      </c>
      <c r="B1806" s="11">
        <f t="shared" si="30"/>
        <v>2.468526480961756</v>
      </c>
    </row>
    <row r="1807" spans="1:2" x14ac:dyDescent="0.3">
      <c r="A1807" s="11">
        <v>88.1499999999983</v>
      </c>
      <c r="B1807" s="11">
        <f t="shared" si="30"/>
        <v>2.4629502670499321</v>
      </c>
    </row>
    <row r="1808" spans="1:2" x14ac:dyDescent="0.3">
      <c r="A1808" s="11">
        <v>88.199999999998298</v>
      </c>
      <c r="B1808" s="11">
        <f t="shared" si="30"/>
        <v>2.4573897894632197</v>
      </c>
    </row>
    <row r="1809" spans="1:2" x14ac:dyDescent="0.3">
      <c r="A1809" s="11">
        <v>88.249999999998295</v>
      </c>
      <c r="B1809" s="11">
        <f t="shared" si="30"/>
        <v>2.4518449949416374</v>
      </c>
    </row>
    <row r="1810" spans="1:2" x14ac:dyDescent="0.3">
      <c r="A1810" s="11">
        <v>88.299999999998306</v>
      </c>
      <c r="B1810" s="11">
        <f t="shared" si="30"/>
        <v>2.446315830435438</v>
      </c>
    </row>
    <row r="1811" spans="1:2" x14ac:dyDescent="0.3">
      <c r="A1811" s="11">
        <v>88.349999999998303</v>
      </c>
      <c r="B1811" s="11">
        <f t="shared" si="30"/>
        <v>2.4408022431040721</v>
      </c>
    </row>
    <row r="1812" spans="1:2" x14ac:dyDescent="0.3">
      <c r="A1812" s="11">
        <v>88.3999999999983</v>
      </c>
      <c r="B1812" s="11">
        <f t="shared" si="30"/>
        <v>2.4353041803152742</v>
      </c>
    </row>
    <row r="1813" spans="1:2" x14ac:dyDescent="0.3">
      <c r="A1813" s="11">
        <v>88.449999999998298</v>
      </c>
      <c r="B1813" s="11">
        <f t="shared" si="30"/>
        <v>2.4298215896441699</v>
      </c>
    </row>
    <row r="1814" spans="1:2" x14ac:dyDescent="0.3">
      <c r="A1814" s="11">
        <v>88.499999999998295</v>
      </c>
      <c r="B1814" s="11">
        <f t="shared" si="30"/>
        <v>2.4243544188722876</v>
      </c>
    </row>
    <row r="1815" spans="1:2" x14ac:dyDescent="0.3">
      <c r="A1815" s="11">
        <v>88.549999999998306</v>
      </c>
      <c r="B1815" s="11">
        <f t="shared" si="30"/>
        <v>2.418902615986624</v>
      </c>
    </row>
    <row r="1816" spans="1:2" x14ac:dyDescent="0.3">
      <c r="A1816" s="11">
        <v>88.599999999998303</v>
      </c>
      <c r="B1816" s="11">
        <f t="shared" si="30"/>
        <v>2.4134661291787922</v>
      </c>
    </row>
    <row r="1817" spans="1:2" x14ac:dyDescent="0.3">
      <c r="A1817" s="11">
        <v>88.6499999999983</v>
      </c>
      <c r="B1817" s="11">
        <f t="shared" si="30"/>
        <v>2.4080449068440495</v>
      </c>
    </row>
    <row r="1818" spans="1:2" x14ac:dyDescent="0.3">
      <c r="A1818" s="11">
        <v>88.699999999998298</v>
      </c>
      <c r="B1818" s="11">
        <f t="shared" si="30"/>
        <v>2.4026388975803363</v>
      </c>
    </row>
    <row r="1819" spans="1:2" x14ac:dyDescent="0.3">
      <c r="A1819" s="11">
        <v>88.749999999998295</v>
      </c>
      <c r="B1819" s="11">
        <f t="shared" si="30"/>
        <v>2.3972480501874993</v>
      </c>
    </row>
    <row r="1820" spans="1:2" x14ac:dyDescent="0.3">
      <c r="A1820" s="11">
        <v>88.799999999998306</v>
      </c>
      <c r="B1820" s="11">
        <f t="shared" si="30"/>
        <v>2.3918723136662332</v>
      </c>
    </row>
    <row r="1821" spans="1:2" x14ac:dyDescent="0.3">
      <c r="A1821" s="11">
        <v>88.849999999998303</v>
      </c>
      <c r="B1821" s="11">
        <f t="shared" si="30"/>
        <v>2.3865116372173221</v>
      </c>
    </row>
    <row r="1822" spans="1:2" x14ac:dyDescent="0.3">
      <c r="A1822" s="11">
        <v>88.8999999999983</v>
      </c>
      <c r="B1822" s="11">
        <f t="shared" si="30"/>
        <v>2.3811659702406169</v>
      </c>
    </row>
    <row r="1823" spans="1:2" x14ac:dyDescent="0.3">
      <c r="A1823" s="11">
        <v>88.949999999998298</v>
      </c>
      <c r="B1823" s="11">
        <f t="shared" si="30"/>
        <v>2.3758352623342351</v>
      </c>
    </row>
    <row r="1824" spans="1:2" x14ac:dyDescent="0.3">
      <c r="A1824" s="11">
        <v>88.999999999998295</v>
      </c>
      <c r="B1824" s="11">
        <f t="shared" si="30"/>
        <v>2.3705194632936277</v>
      </c>
    </row>
    <row r="1825" spans="1:2" x14ac:dyDescent="0.3">
      <c r="A1825" s="11">
        <v>89.049999999998306</v>
      </c>
      <c r="B1825" s="11">
        <f t="shared" si="30"/>
        <v>2.3652185231106997</v>
      </c>
    </row>
    <row r="1826" spans="1:2" x14ac:dyDescent="0.3">
      <c r="A1826" s="11">
        <v>89.099999999998303</v>
      </c>
      <c r="B1826" s="11">
        <f t="shared" si="30"/>
        <v>2.3599323919729822</v>
      </c>
    </row>
    <row r="1827" spans="1:2" x14ac:dyDescent="0.3">
      <c r="A1827" s="11">
        <v>89.1499999999983</v>
      </c>
      <c r="B1827" s="11">
        <f t="shared" si="30"/>
        <v>2.354661020262685</v>
      </c>
    </row>
    <row r="1828" spans="1:2" x14ac:dyDescent="0.3">
      <c r="A1828" s="11">
        <v>89.199999999998298</v>
      </c>
      <c r="B1828" s="11">
        <f t="shared" si="30"/>
        <v>2.3494043585558622</v>
      </c>
    </row>
    <row r="1829" spans="1:2" x14ac:dyDescent="0.3">
      <c r="A1829" s="11">
        <v>89.249999999998295</v>
      </c>
      <c r="B1829" s="11">
        <f t="shared" si="30"/>
        <v>2.3441623576215607</v>
      </c>
    </row>
    <row r="1830" spans="1:2" x14ac:dyDescent="0.3">
      <c r="A1830" s="11">
        <v>89.299999999998306</v>
      </c>
      <c r="B1830" s="11">
        <f t="shared" si="30"/>
        <v>2.3389349684209262</v>
      </c>
    </row>
    <row r="1831" spans="1:2" x14ac:dyDescent="0.3">
      <c r="A1831" s="11">
        <v>89.349999999998303</v>
      </c>
      <c r="B1831" s="11">
        <f t="shared" si="30"/>
        <v>2.3337221421063732</v>
      </c>
    </row>
    <row r="1832" spans="1:2" x14ac:dyDescent="0.3">
      <c r="A1832" s="11">
        <v>89.3999999999983</v>
      </c>
      <c r="B1832" s="11">
        <f t="shared" si="30"/>
        <v>2.3285238300207203</v>
      </c>
    </row>
    <row r="1833" spans="1:2" x14ac:dyDescent="0.3">
      <c r="A1833" s="11">
        <v>89.449999999998298</v>
      </c>
      <c r="B1833" s="11">
        <f t="shared" si="30"/>
        <v>2.3233399836963584</v>
      </c>
    </row>
    <row r="1834" spans="1:2" x14ac:dyDescent="0.3">
      <c r="A1834" s="11">
        <v>89.499999999998295</v>
      </c>
      <c r="B1834" s="11">
        <f t="shared" si="30"/>
        <v>2.3181705548544023</v>
      </c>
    </row>
    <row r="1835" spans="1:2" x14ac:dyDescent="0.3">
      <c r="A1835" s="11">
        <v>89.549999999998306</v>
      </c>
      <c r="B1835" s="11">
        <f t="shared" si="30"/>
        <v>2.3130154954038149</v>
      </c>
    </row>
    <row r="1836" spans="1:2" x14ac:dyDescent="0.3">
      <c r="A1836" s="11">
        <v>89.599999999998303</v>
      </c>
      <c r="B1836" s="11">
        <f t="shared" si="30"/>
        <v>2.3078747574406222</v>
      </c>
    </row>
    <row r="1837" spans="1:2" x14ac:dyDescent="0.3">
      <c r="A1837" s="11">
        <v>89.6499999999983</v>
      </c>
      <c r="B1837" s="11">
        <f t="shared" si="30"/>
        <v>2.3027482932470686</v>
      </c>
    </row>
    <row r="1838" spans="1:2" x14ac:dyDescent="0.3">
      <c r="A1838" s="11">
        <v>89.699999999998298</v>
      </c>
      <c r="B1838" s="11">
        <f t="shared" ref="B1838:B1901" si="31">374200000/(A1838^5*(EXP(14390/(A1838*Temperature))-1))</f>
        <v>2.2976360552907669</v>
      </c>
    </row>
    <row r="1839" spans="1:2" x14ac:dyDescent="0.3">
      <c r="A1839" s="11">
        <v>89.749999999998295</v>
      </c>
      <c r="B1839" s="11">
        <f t="shared" si="31"/>
        <v>2.2925379962238921</v>
      </c>
    </row>
    <row r="1840" spans="1:2" x14ac:dyDescent="0.3">
      <c r="A1840" s="11">
        <v>89.799999999998306</v>
      </c>
      <c r="B1840" s="11">
        <f t="shared" si="31"/>
        <v>2.2874540688823992</v>
      </c>
    </row>
    <row r="1841" spans="1:2" x14ac:dyDescent="0.3">
      <c r="A1841" s="11">
        <v>89.849999999998303</v>
      </c>
      <c r="B1841" s="11">
        <f t="shared" si="31"/>
        <v>2.2823842262851306</v>
      </c>
    </row>
    <row r="1842" spans="1:2" x14ac:dyDescent="0.3">
      <c r="A1842" s="11">
        <v>89.8999999999983</v>
      </c>
      <c r="B1842" s="11">
        <f t="shared" si="31"/>
        <v>2.2773284216330478</v>
      </c>
    </row>
    <row r="1843" spans="1:2" x14ac:dyDescent="0.3">
      <c r="A1843" s="11">
        <v>89.949999999998298</v>
      </c>
      <c r="B1843" s="11">
        <f t="shared" si="31"/>
        <v>2.2722866083084559</v>
      </c>
    </row>
    <row r="1844" spans="1:2" x14ac:dyDescent="0.3">
      <c r="A1844" s="11">
        <v>89.999999999998295</v>
      </c>
      <c r="B1844" s="11">
        <f t="shared" si="31"/>
        <v>2.2672587398741464</v>
      </c>
    </row>
    <row r="1845" spans="1:2" x14ac:dyDescent="0.3">
      <c r="A1845" s="11">
        <v>90.049999999998306</v>
      </c>
      <c r="B1845" s="11">
        <f t="shared" si="31"/>
        <v>2.2622447700726331</v>
      </c>
    </row>
    <row r="1846" spans="1:2" x14ac:dyDescent="0.3">
      <c r="A1846" s="11">
        <v>90.099999999998303</v>
      </c>
      <c r="B1846" s="11">
        <f t="shared" si="31"/>
        <v>2.257244652825356</v>
      </c>
    </row>
    <row r="1847" spans="1:2" x14ac:dyDescent="0.3">
      <c r="A1847" s="11">
        <v>90.1499999999983</v>
      </c>
      <c r="B1847" s="11">
        <f t="shared" si="31"/>
        <v>2.2522583422318574</v>
      </c>
    </row>
    <row r="1848" spans="1:2" x14ac:dyDescent="0.3">
      <c r="A1848" s="11">
        <v>90.199999999998298</v>
      </c>
      <c r="B1848" s="11">
        <f t="shared" si="31"/>
        <v>2.2472857925690461</v>
      </c>
    </row>
    <row r="1849" spans="1:2" x14ac:dyDescent="0.3">
      <c r="A1849" s="11">
        <v>90.249999999998295</v>
      </c>
      <c r="B1849" s="11">
        <f t="shared" si="31"/>
        <v>2.2423269582903584</v>
      </c>
    </row>
    <row r="1850" spans="1:2" x14ac:dyDescent="0.3">
      <c r="A1850" s="11">
        <v>90.299999999998306</v>
      </c>
      <c r="B1850" s="11">
        <f t="shared" si="31"/>
        <v>2.2373817940250582</v>
      </c>
    </row>
    <row r="1851" spans="1:2" x14ac:dyDescent="0.3">
      <c r="A1851" s="11">
        <v>90.349999999998303</v>
      </c>
      <c r="B1851" s="11">
        <f t="shared" si="31"/>
        <v>2.2324502545773539</v>
      </c>
    </row>
    <row r="1852" spans="1:2" x14ac:dyDescent="0.3">
      <c r="A1852" s="11">
        <v>90.3999999999983</v>
      </c>
      <c r="B1852" s="11">
        <f t="shared" si="31"/>
        <v>2.2275322949257377</v>
      </c>
    </row>
    <row r="1853" spans="1:2" x14ac:dyDescent="0.3">
      <c r="A1853" s="11">
        <v>90.449999999998298</v>
      </c>
      <c r="B1853" s="11">
        <f t="shared" si="31"/>
        <v>2.2226278702221509</v>
      </c>
    </row>
    <row r="1854" spans="1:2" x14ac:dyDescent="0.3">
      <c r="A1854" s="11">
        <v>90.499999999998295</v>
      </c>
      <c r="B1854" s="11">
        <f t="shared" si="31"/>
        <v>2.2177369357912244</v>
      </c>
    </row>
    <row r="1855" spans="1:2" x14ac:dyDescent="0.3">
      <c r="A1855" s="11">
        <v>90.549999999998306</v>
      </c>
      <c r="B1855" s="11">
        <f t="shared" si="31"/>
        <v>2.2128594471295373</v>
      </c>
    </row>
    <row r="1856" spans="1:2" x14ac:dyDescent="0.3">
      <c r="A1856" s="11">
        <v>90.599999999998303</v>
      </c>
      <c r="B1856" s="11">
        <f t="shared" si="31"/>
        <v>2.2079953599048667</v>
      </c>
    </row>
    <row r="1857" spans="1:2" x14ac:dyDescent="0.3">
      <c r="A1857" s="11">
        <v>90.6499999999983</v>
      </c>
      <c r="B1857" s="11">
        <f t="shared" si="31"/>
        <v>2.2031446299554376</v>
      </c>
    </row>
    <row r="1858" spans="1:2" x14ac:dyDescent="0.3">
      <c r="A1858" s="11">
        <v>90.699999999998298</v>
      </c>
      <c r="B1858" s="11">
        <f t="shared" si="31"/>
        <v>2.1983072132891226</v>
      </c>
    </row>
    <row r="1859" spans="1:2" x14ac:dyDescent="0.3">
      <c r="A1859" s="11">
        <v>90.749999999998295</v>
      </c>
      <c r="B1859" s="11">
        <f t="shared" si="31"/>
        <v>2.1934830660827558</v>
      </c>
    </row>
    <row r="1860" spans="1:2" x14ac:dyDescent="0.3">
      <c r="A1860" s="11">
        <v>90.799999999998306</v>
      </c>
      <c r="B1860" s="11">
        <f t="shared" si="31"/>
        <v>2.1886721446813944</v>
      </c>
    </row>
    <row r="1861" spans="1:2" x14ac:dyDescent="0.3">
      <c r="A1861" s="11">
        <v>90.849999999998303</v>
      </c>
      <c r="B1861" s="11">
        <f t="shared" si="31"/>
        <v>2.1838744055975328</v>
      </c>
    </row>
    <row r="1862" spans="1:2" x14ac:dyDescent="0.3">
      <c r="A1862" s="11">
        <v>90.8999999999983</v>
      </c>
      <c r="B1862" s="11">
        <f t="shared" si="31"/>
        <v>2.1790898055103876</v>
      </c>
    </row>
    <row r="1863" spans="1:2" x14ac:dyDescent="0.3">
      <c r="A1863" s="11">
        <v>90.949999999998298</v>
      </c>
      <c r="B1863" s="11">
        <f t="shared" si="31"/>
        <v>2.1743183012652048</v>
      </c>
    </row>
    <row r="1864" spans="1:2" x14ac:dyDescent="0.3">
      <c r="A1864" s="11">
        <v>90.999999999998295</v>
      </c>
      <c r="B1864" s="11">
        <f t="shared" si="31"/>
        <v>2.169559849872472</v>
      </c>
    </row>
    <row r="1865" spans="1:2" x14ac:dyDescent="0.3">
      <c r="A1865" s="11">
        <v>91.049999999998306</v>
      </c>
      <c r="B1865" s="11">
        <f t="shared" si="31"/>
        <v>2.1648144085072598</v>
      </c>
    </row>
    <row r="1866" spans="1:2" x14ac:dyDescent="0.3">
      <c r="A1866" s="11">
        <v>91.099999999998303</v>
      </c>
      <c r="B1866" s="11">
        <f t="shared" si="31"/>
        <v>2.1600819345084314</v>
      </c>
    </row>
    <row r="1867" spans="1:2" x14ac:dyDescent="0.3">
      <c r="A1867" s="11">
        <v>91.1499999999983</v>
      </c>
      <c r="B1867" s="11">
        <f t="shared" si="31"/>
        <v>2.1553623853780066</v>
      </c>
    </row>
    <row r="1868" spans="1:2" x14ac:dyDescent="0.3">
      <c r="A1868" s="11">
        <v>91.199999999998298</v>
      </c>
      <c r="B1868" s="11">
        <f t="shared" si="31"/>
        <v>2.150655718780385</v>
      </c>
    </row>
    <row r="1869" spans="1:2" x14ac:dyDescent="0.3">
      <c r="A1869" s="11">
        <v>91.249999999998295</v>
      </c>
      <c r="B1869" s="11">
        <f t="shared" si="31"/>
        <v>2.1459618925416439</v>
      </c>
    </row>
    <row r="1870" spans="1:2" x14ac:dyDescent="0.3">
      <c r="A1870" s="11">
        <v>91.299999999998306</v>
      </c>
      <c r="B1870" s="11">
        <f t="shared" si="31"/>
        <v>2.1412808646488677</v>
      </c>
    </row>
    <row r="1871" spans="1:2" x14ac:dyDescent="0.3">
      <c r="A1871" s="11">
        <v>91.349999999998303</v>
      </c>
      <c r="B1871" s="11">
        <f t="shared" si="31"/>
        <v>2.136612593249442</v>
      </c>
    </row>
    <row r="1872" spans="1:2" x14ac:dyDescent="0.3">
      <c r="A1872" s="11">
        <v>91.3999999999983</v>
      </c>
      <c r="B1872" s="11">
        <f t="shared" si="31"/>
        <v>2.1319570366503244</v>
      </c>
    </row>
    <row r="1873" spans="1:2" x14ac:dyDescent="0.3">
      <c r="A1873" s="11">
        <v>91.449999999998298</v>
      </c>
      <c r="B1873" s="11">
        <f t="shared" si="31"/>
        <v>2.1273141533173341</v>
      </c>
    </row>
    <row r="1874" spans="1:2" x14ac:dyDescent="0.3">
      <c r="A1874" s="11">
        <v>91.499999999998295</v>
      </c>
      <c r="B1874" s="11">
        <f t="shared" si="31"/>
        <v>2.1226839018745598</v>
      </c>
    </row>
    <row r="1875" spans="1:2" x14ac:dyDescent="0.3">
      <c r="A1875" s="11">
        <v>91.549999999998306</v>
      </c>
      <c r="B1875" s="11">
        <f t="shared" si="31"/>
        <v>2.1180662411035356</v>
      </c>
    </row>
    <row r="1876" spans="1:2" x14ac:dyDescent="0.3">
      <c r="A1876" s="11">
        <v>91.599999999998303</v>
      </c>
      <c r="B1876" s="11">
        <f t="shared" si="31"/>
        <v>2.1134611299426584</v>
      </c>
    </row>
    <row r="1877" spans="1:2" x14ac:dyDescent="0.3">
      <c r="A1877" s="11">
        <v>91.6499999999983</v>
      </c>
      <c r="B1877" s="11">
        <f t="shared" si="31"/>
        <v>2.1088685274864769</v>
      </c>
    </row>
    <row r="1878" spans="1:2" x14ac:dyDescent="0.3">
      <c r="A1878" s="11">
        <v>91.699999999998298</v>
      </c>
      <c r="B1878" s="11">
        <f t="shared" si="31"/>
        <v>2.1042883929849761</v>
      </c>
    </row>
    <row r="1879" spans="1:2" x14ac:dyDescent="0.3">
      <c r="A1879" s="11">
        <v>91.749999999998295</v>
      </c>
      <c r="B1879" s="11">
        <f t="shared" si="31"/>
        <v>2.0997206858429882</v>
      </c>
    </row>
    <row r="1880" spans="1:2" x14ac:dyDescent="0.3">
      <c r="A1880" s="11">
        <v>91.799999999998306</v>
      </c>
      <c r="B1880" s="11">
        <f t="shared" si="31"/>
        <v>2.0951653656193878</v>
      </c>
    </row>
    <row r="1881" spans="1:2" x14ac:dyDescent="0.3">
      <c r="A1881" s="11">
        <v>91.849999999998204</v>
      </c>
      <c r="B1881" s="11">
        <f t="shared" si="31"/>
        <v>2.0906223920265972</v>
      </c>
    </row>
    <row r="1882" spans="1:2" x14ac:dyDescent="0.3">
      <c r="A1882" s="11">
        <v>91.8999999999983</v>
      </c>
      <c r="B1882" s="11">
        <f t="shared" si="31"/>
        <v>2.0860917249297097</v>
      </c>
    </row>
    <row r="1883" spans="1:2" x14ac:dyDescent="0.3">
      <c r="A1883" s="11">
        <v>91.949999999998298</v>
      </c>
      <c r="B1883" s="11">
        <f t="shared" si="31"/>
        <v>2.0815733243460852</v>
      </c>
    </row>
    <row r="1884" spans="1:2" x14ac:dyDescent="0.3">
      <c r="A1884" s="11">
        <v>91.999999999998295</v>
      </c>
      <c r="B1884" s="11">
        <f t="shared" si="31"/>
        <v>2.077067150444424</v>
      </c>
    </row>
    <row r="1885" spans="1:2" x14ac:dyDescent="0.3">
      <c r="A1885" s="11">
        <v>92.049999999998306</v>
      </c>
      <c r="B1885" s="11">
        <f t="shared" si="31"/>
        <v>2.0725731635443165</v>
      </c>
    </row>
    <row r="1886" spans="1:2" x14ac:dyDescent="0.3">
      <c r="A1886" s="11">
        <v>92.099999999998204</v>
      </c>
      <c r="B1886" s="11">
        <f t="shared" si="31"/>
        <v>2.0680913241154895</v>
      </c>
    </row>
    <row r="1887" spans="1:2" x14ac:dyDescent="0.3">
      <c r="A1887" s="11">
        <v>92.149999999998201</v>
      </c>
      <c r="B1887" s="11">
        <f t="shared" si="31"/>
        <v>2.0636215927771779</v>
      </c>
    </row>
    <row r="1888" spans="1:2" x14ac:dyDescent="0.3">
      <c r="A1888" s="11">
        <v>92.199999999998198</v>
      </c>
      <c r="B1888" s="11">
        <f t="shared" si="31"/>
        <v>2.0591639302974758</v>
      </c>
    </row>
    <row r="1889" spans="1:2" x14ac:dyDescent="0.3">
      <c r="A1889" s="11">
        <v>92.249999999998295</v>
      </c>
      <c r="B1889" s="11">
        <f t="shared" si="31"/>
        <v>2.0547182975926876</v>
      </c>
    </row>
    <row r="1890" spans="1:2" x14ac:dyDescent="0.3">
      <c r="A1890" s="11">
        <v>92.299999999998306</v>
      </c>
      <c r="B1890" s="11">
        <f t="shared" si="31"/>
        <v>2.0502846557267649</v>
      </c>
    </row>
    <row r="1891" spans="1:2" x14ac:dyDescent="0.3">
      <c r="A1891" s="11">
        <v>92.349999999998204</v>
      </c>
      <c r="B1891" s="11">
        <f t="shared" si="31"/>
        <v>2.0458629659105405</v>
      </c>
    </row>
    <row r="1892" spans="1:2" x14ac:dyDescent="0.3">
      <c r="A1892" s="11">
        <v>92.399999999998201</v>
      </c>
      <c r="B1892" s="11">
        <f t="shared" si="31"/>
        <v>2.0414531895011727</v>
      </c>
    </row>
    <row r="1893" spans="1:2" x14ac:dyDescent="0.3">
      <c r="A1893" s="11">
        <v>92.449999999998198</v>
      </c>
      <c r="B1893" s="11">
        <f t="shared" si="31"/>
        <v>2.0370552880015</v>
      </c>
    </row>
    <row r="1894" spans="1:2" x14ac:dyDescent="0.3">
      <c r="A1894" s="11">
        <v>92.499999999998195</v>
      </c>
      <c r="B1894" s="11">
        <f t="shared" si="31"/>
        <v>2.0326692230594405</v>
      </c>
    </row>
    <row r="1895" spans="1:2" x14ac:dyDescent="0.3">
      <c r="A1895" s="11">
        <v>92.549999999998207</v>
      </c>
      <c r="B1895" s="11">
        <f t="shared" si="31"/>
        <v>2.0282949564673234</v>
      </c>
    </row>
    <row r="1896" spans="1:2" x14ac:dyDescent="0.3">
      <c r="A1896" s="11">
        <v>92.599999999998204</v>
      </c>
      <c r="B1896" s="11">
        <f t="shared" si="31"/>
        <v>2.0239324501612876</v>
      </c>
    </row>
    <row r="1897" spans="1:2" x14ac:dyDescent="0.3">
      <c r="A1897" s="11">
        <v>92.649999999998201</v>
      </c>
      <c r="B1897" s="11">
        <f t="shared" si="31"/>
        <v>2.0195816662206574</v>
      </c>
    </row>
    <row r="1898" spans="1:2" x14ac:dyDescent="0.3">
      <c r="A1898" s="11">
        <v>92.699999999998198</v>
      </c>
      <c r="B1898" s="11">
        <f t="shared" si="31"/>
        <v>2.015242566867347</v>
      </c>
    </row>
    <row r="1899" spans="1:2" x14ac:dyDescent="0.3">
      <c r="A1899" s="11">
        <v>92.749999999998195</v>
      </c>
      <c r="B1899" s="11">
        <f t="shared" si="31"/>
        <v>2.0109151144652135</v>
      </c>
    </row>
    <row r="1900" spans="1:2" x14ac:dyDescent="0.3">
      <c r="A1900" s="11">
        <v>92.799999999998207</v>
      </c>
      <c r="B1900" s="11">
        <f t="shared" si="31"/>
        <v>2.0065992715195056</v>
      </c>
    </row>
    <row r="1901" spans="1:2" x14ac:dyDescent="0.3">
      <c r="A1901" s="11">
        <v>92.849999999998204</v>
      </c>
      <c r="B1901" s="11">
        <f t="shared" si="31"/>
        <v>2.0022950006761757</v>
      </c>
    </row>
    <row r="1902" spans="1:2" x14ac:dyDescent="0.3">
      <c r="A1902" s="11">
        <v>92.899999999998201</v>
      </c>
      <c r="B1902" s="11">
        <f t="shared" ref="B1902:B1965" si="32">374200000/(A1902^5*(EXP(14390/(A1902*Temperature))-1))</f>
        <v>1.9980022647213536</v>
      </c>
    </row>
    <row r="1903" spans="1:2" x14ac:dyDescent="0.3">
      <c r="A1903" s="11">
        <v>92.949999999998198</v>
      </c>
      <c r="B1903" s="11">
        <f t="shared" si="32"/>
        <v>1.9937210265806877</v>
      </c>
    </row>
    <row r="1904" spans="1:2" x14ac:dyDescent="0.3">
      <c r="A1904" s="11">
        <v>92.999999999998195</v>
      </c>
      <c r="B1904" s="11">
        <f t="shared" si="32"/>
        <v>1.9894512493187886</v>
      </c>
    </row>
    <row r="1905" spans="1:2" x14ac:dyDescent="0.3">
      <c r="A1905" s="11">
        <v>93.049999999998207</v>
      </c>
      <c r="B1905" s="11">
        <f t="shared" si="32"/>
        <v>1.9851928961386143</v>
      </c>
    </row>
    <row r="1906" spans="1:2" x14ac:dyDescent="0.3">
      <c r="A1906" s="11">
        <v>93.099999999998204</v>
      </c>
      <c r="B1906" s="11">
        <f t="shared" si="32"/>
        <v>1.9809459303808818</v>
      </c>
    </row>
    <row r="1907" spans="1:2" x14ac:dyDescent="0.3">
      <c r="A1907" s="11">
        <v>93.149999999998201</v>
      </c>
      <c r="B1907" s="11">
        <f t="shared" si="32"/>
        <v>1.9767103155234667</v>
      </c>
    </row>
    <row r="1908" spans="1:2" x14ac:dyDescent="0.3">
      <c r="A1908" s="11">
        <v>93.199999999998198</v>
      </c>
      <c r="B1908" s="11">
        <f t="shared" si="32"/>
        <v>1.9724860151808452</v>
      </c>
    </row>
    <row r="1909" spans="1:2" x14ac:dyDescent="0.3">
      <c r="A1909" s="11">
        <v>93.249999999998195</v>
      </c>
      <c r="B1909" s="11">
        <f t="shared" si="32"/>
        <v>1.9682729931034681</v>
      </c>
    </row>
    <row r="1910" spans="1:2" x14ac:dyDescent="0.3">
      <c r="A1910" s="11">
        <v>93.299999999998207</v>
      </c>
      <c r="B1910" s="11">
        <f t="shared" si="32"/>
        <v>1.9640712131772635</v>
      </c>
    </row>
    <row r="1911" spans="1:2" x14ac:dyDescent="0.3">
      <c r="A1911" s="11">
        <v>93.349999999998204</v>
      </c>
      <c r="B1911" s="11">
        <f t="shared" si="32"/>
        <v>1.9598806394229222</v>
      </c>
    </row>
    <row r="1912" spans="1:2" x14ac:dyDescent="0.3">
      <c r="A1912" s="11">
        <v>93.399999999998201</v>
      </c>
      <c r="B1912" s="11">
        <f t="shared" si="32"/>
        <v>1.955701235995468</v>
      </c>
    </row>
    <row r="1913" spans="1:2" x14ac:dyDescent="0.3">
      <c r="A1913" s="11">
        <v>93.449999999998198</v>
      </c>
      <c r="B1913" s="11">
        <f t="shared" si="32"/>
        <v>1.9515329671835804</v>
      </c>
    </row>
    <row r="1914" spans="1:2" x14ac:dyDescent="0.3">
      <c r="A1914" s="11">
        <v>93.499999999998195</v>
      </c>
      <c r="B1914" s="11">
        <f t="shared" si="32"/>
        <v>1.9473757974090784</v>
      </c>
    </row>
    <row r="1915" spans="1:2" x14ac:dyDescent="0.3">
      <c r="A1915" s="11">
        <v>93.549999999998207</v>
      </c>
      <c r="B1915" s="11">
        <f t="shared" si="32"/>
        <v>1.9432296912263385</v>
      </c>
    </row>
    <row r="1916" spans="1:2" x14ac:dyDescent="0.3">
      <c r="A1916" s="11">
        <v>93.599999999998204</v>
      </c>
      <c r="B1916" s="11">
        <f t="shared" si="32"/>
        <v>1.939094613321714</v>
      </c>
    </row>
    <row r="1917" spans="1:2" x14ac:dyDescent="0.3">
      <c r="A1917" s="11">
        <v>93.649999999998201</v>
      </c>
      <c r="B1917" s="11">
        <f t="shared" si="32"/>
        <v>1.9349705285130314</v>
      </c>
    </row>
    <row r="1918" spans="1:2" x14ac:dyDescent="0.3">
      <c r="A1918" s="11">
        <v>93.699999999998198</v>
      </c>
      <c r="B1918" s="11">
        <f t="shared" si="32"/>
        <v>1.9308574017489308</v>
      </c>
    </row>
    <row r="1919" spans="1:2" x14ac:dyDescent="0.3">
      <c r="A1919" s="11">
        <v>93.749999999998195</v>
      </c>
      <c r="B1919" s="11">
        <f t="shared" si="32"/>
        <v>1.9267551981084408</v>
      </c>
    </row>
    <row r="1920" spans="1:2" x14ac:dyDescent="0.3">
      <c r="A1920" s="11">
        <v>93.799999999998207</v>
      </c>
      <c r="B1920" s="11">
        <f t="shared" si="32"/>
        <v>1.9226638828002869</v>
      </c>
    </row>
    <row r="1921" spans="1:2" x14ac:dyDescent="0.3">
      <c r="A1921" s="11">
        <v>93.849999999998204</v>
      </c>
      <c r="B1921" s="11">
        <f t="shared" si="32"/>
        <v>1.9185834211624468</v>
      </c>
    </row>
    <row r="1922" spans="1:2" x14ac:dyDescent="0.3">
      <c r="A1922" s="11">
        <v>93.899999999998201</v>
      </c>
      <c r="B1922" s="11">
        <f t="shared" si="32"/>
        <v>1.9145137786615662</v>
      </c>
    </row>
    <row r="1923" spans="1:2" x14ac:dyDescent="0.3">
      <c r="A1923" s="11">
        <v>93.949999999998198</v>
      </c>
      <c r="B1923" s="11">
        <f t="shared" si="32"/>
        <v>1.910454920892378</v>
      </c>
    </row>
    <row r="1924" spans="1:2" x14ac:dyDescent="0.3">
      <c r="A1924" s="11">
        <v>93.999999999998195</v>
      </c>
      <c r="B1924" s="11">
        <f t="shared" si="32"/>
        <v>1.9064068135772241</v>
      </c>
    </row>
    <row r="1925" spans="1:2" x14ac:dyDescent="0.3">
      <c r="A1925" s="11">
        <v>94.049999999998207</v>
      </c>
      <c r="B1925" s="11">
        <f t="shared" si="32"/>
        <v>1.9023694225654759</v>
      </c>
    </row>
    <row r="1926" spans="1:2" x14ac:dyDescent="0.3">
      <c r="A1926" s="11">
        <v>94.099999999998204</v>
      </c>
      <c r="B1926" s="11">
        <f t="shared" si="32"/>
        <v>1.8983427138329878</v>
      </c>
    </row>
    <row r="1927" spans="1:2" x14ac:dyDescent="0.3">
      <c r="A1927" s="11">
        <v>94.149999999998201</v>
      </c>
      <c r="B1927" s="11">
        <f t="shared" si="32"/>
        <v>1.8943266534815766</v>
      </c>
    </row>
    <row r="1928" spans="1:2" x14ac:dyDescent="0.3">
      <c r="A1928" s="11">
        <v>94.199999999998198</v>
      </c>
      <c r="B1928" s="11">
        <f t="shared" si="32"/>
        <v>1.8903212077385316</v>
      </c>
    </row>
    <row r="1929" spans="1:2" x14ac:dyDescent="0.3">
      <c r="A1929" s="11">
        <v>94.249999999998195</v>
      </c>
      <c r="B1929" s="11">
        <f t="shared" si="32"/>
        <v>1.8863263429559936</v>
      </c>
    </row>
    <row r="1930" spans="1:2" x14ac:dyDescent="0.3">
      <c r="A1930" s="11">
        <v>94.299999999998207</v>
      </c>
      <c r="B1930" s="11">
        <f t="shared" si="32"/>
        <v>1.8823420256104773</v>
      </c>
    </row>
    <row r="1931" spans="1:2" x14ac:dyDescent="0.3">
      <c r="A1931" s="11">
        <v>94.349999999998204</v>
      </c>
      <c r="B1931" s="11">
        <f t="shared" si="32"/>
        <v>1.8783682223024067</v>
      </c>
    </row>
    <row r="1932" spans="1:2" x14ac:dyDescent="0.3">
      <c r="A1932" s="11">
        <v>94.399999999998201</v>
      </c>
      <c r="B1932" s="11">
        <f t="shared" si="32"/>
        <v>1.8744048997554468</v>
      </c>
    </row>
    <row r="1933" spans="1:2" x14ac:dyDescent="0.3">
      <c r="A1933" s="11">
        <v>94.449999999998198</v>
      </c>
      <c r="B1933" s="11">
        <f t="shared" si="32"/>
        <v>1.8704520248161214</v>
      </c>
    </row>
    <row r="1934" spans="1:2" x14ac:dyDescent="0.3">
      <c r="A1934" s="11">
        <v>94.499999999998195</v>
      </c>
      <c r="B1934" s="11">
        <f t="shared" si="32"/>
        <v>1.8665095644532368</v>
      </c>
    </row>
    <row r="1935" spans="1:2" x14ac:dyDescent="0.3">
      <c r="A1935" s="11">
        <v>94.549999999998207</v>
      </c>
      <c r="B1935" s="11">
        <f t="shared" si="32"/>
        <v>1.8625774857573358</v>
      </c>
    </row>
    <row r="1936" spans="1:2" x14ac:dyDescent="0.3">
      <c r="A1936" s="11">
        <v>94.599999999998204</v>
      </c>
      <c r="B1936" s="11">
        <f t="shared" si="32"/>
        <v>1.8586557559402663</v>
      </c>
    </row>
    <row r="1937" spans="1:2" x14ac:dyDescent="0.3">
      <c r="A1937" s="11">
        <v>94.649999999998201</v>
      </c>
      <c r="B1937" s="11">
        <f t="shared" si="32"/>
        <v>1.8547443423346135</v>
      </c>
    </row>
    <row r="1938" spans="1:2" x14ac:dyDescent="0.3">
      <c r="A1938" s="11">
        <v>94.699999999998198</v>
      </c>
      <c r="B1938" s="11">
        <f t="shared" si="32"/>
        <v>1.8508432123931773</v>
      </c>
    </row>
    <row r="1939" spans="1:2" x14ac:dyDescent="0.3">
      <c r="A1939" s="11">
        <v>94.749999999998195</v>
      </c>
      <c r="B1939" s="11">
        <f t="shared" si="32"/>
        <v>1.846952333688531</v>
      </c>
    </row>
    <row r="1940" spans="1:2" x14ac:dyDescent="0.3">
      <c r="A1940" s="11">
        <v>94.799999999998207</v>
      </c>
      <c r="B1940" s="11">
        <f t="shared" si="32"/>
        <v>1.8430716739124307</v>
      </c>
    </row>
    <row r="1941" spans="1:2" x14ac:dyDescent="0.3">
      <c r="A1941" s="11">
        <v>94.849999999998204</v>
      </c>
      <c r="B1941" s="11">
        <f t="shared" si="32"/>
        <v>1.8392012008754179</v>
      </c>
    </row>
    <row r="1942" spans="1:2" x14ac:dyDescent="0.3">
      <c r="A1942" s="11">
        <v>94.899999999998201</v>
      </c>
      <c r="B1942" s="11">
        <f t="shared" si="32"/>
        <v>1.8353408825062407</v>
      </c>
    </row>
    <row r="1943" spans="1:2" x14ac:dyDescent="0.3">
      <c r="A1943" s="11">
        <v>94.949999999998198</v>
      </c>
      <c r="B1943" s="11">
        <f t="shared" si="32"/>
        <v>1.8314906868513861</v>
      </c>
    </row>
    <row r="1944" spans="1:2" x14ac:dyDescent="0.3">
      <c r="A1944" s="11">
        <v>94.999999999998195</v>
      </c>
      <c r="B1944" s="11">
        <f t="shared" si="32"/>
        <v>1.827650582074575</v>
      </c>
    </row>
    <row r="1945" spans="1:2" x14ac:dyDescent="0.3">
      <c r="A1945" s="11">
        <v>95.049999999998207</v>
      </c>
      <c r="B1945" s="11">
        <f t="shared" si="32"/>
        <v>1.8238205364562892</v>
      </c>
    </row>
    <row r="1946" spans="1:2" x14ac:dyDescent="0.3">
      <c r="A1946" s="11">
        <v>95.099999999998204</v>
      </c>
      <c r="B1946" s="11">
        <f t="shared" si="32"/>
        <v>1.820000518393295</v>
      </c>
    </row>
    <row r="1947" spans="1:2" x14ac:dyDescent="0.3">
      <c r="A1947" s="11">
        <v>95.149999999998201</v>
      </c>
      <c r="B1947" s="11">
        <f t="shared" si="32"/>
        <v>1.8161904963981086</v>
      </c>
    </row>
    <row r="1948" spans="1:2" x14ac:dyDescent="0.3">
      <c r="A1948" s="11">
        <v>95.199999999998198</v>
      </c>
      <c r="B1948" s="11">
        <f t="shared" si="32"/>
        <v>1.8123904390985368</v>
      </c>
    </row>
    <row r="1949" spans="1:2" x14ac:dyDescent="0.3">
      <c r="A1949" s="11">
        <v>95.249999999998195</v>
      </c>
      <c r="B1949" s="11">
        <f t="shared" si="32"/>
        <v>1.8086003152372014</v>
      </c>
    </row>
    <row r="1950" spans="1:2" x14ac:dyDescent="0.3">
      <c r="A1950" s="11">
        <v>95.299999999998207</v>
      </c>
      <c r="B1950" s="11">
        <f t="shared" si="32"/>
        <v>1.8048200936710608</v>
      </c>
    </row>
    <row r="1951" spans="1:2" x14ac:dyDescent="0.3">
      <c r="A1951" s="11">
        <v>95.349999999998204</v>
      </c>
      <c r="B1951" s="11">
        <f t="shared" si="32"/>
        <v>1.8010497433709172</v>
      </c>
    </row>
    <row r="1952" spans="1:2" x14ac:dyDescent="0.3">
      <c r="A1952" s="11">
        <v>95.399999999998201</v>
      </c>
      <c r="B1952" s="11">
        <f t="shared" si="32"/>
        <v>1.7972892334209507</v>
      </c>
    </row>
    <row r="1953" spans="1:2" x14ac:dyDescent="0.3">
      <c r="A1953" s="11">
        <v>95.449999999998198</v>
      </c>
      <c r="B1953" s="11">
        <f t="shared" si="32"/>
        <v>1.7935385330182441</v>
      </c>
    </row>
    <row r="1954" spans="1:2" x14ac:dyDescent="0.3">
      <c r="A1954" s="11">
        <v>95.499999999998195</v>
      </c>
      <c r="B1954" s="11">
        <f t="shared" si="32"/>
        <v>1.7897976114723324</v>
      </c>
    </row>
    <row r="1955" spans="1:2" x14ac:dyDescent="0.3">
      <c r="A1955" s="11">
        <v>95.549999999998207</v>
      </c>
      <c r="B1955" s="11">
        <f t="shared" si="32"/>
        <v>1.7860664382046758</v>
      </c>
    </row>
    <row r="1956" spans="1:2" x14ac:dyDescent="0.3">
      <c r="A1956" s="11">
        <v>95.599999999998204</v>
      </c>
      <c r="B1956" s="11">
        <f t="shared" si="32"/>
        <v>1.7823449827482534</v>
      </c>
    </row>
    <row r="1957" spans="1:2" x14ac:dyDescent="0.3">
      <c r="A1957" s="11">
        <v>95.649999999998201</v>
      </c>
      <c r="B1957" s="11">
        <f t="shared" si="32"/>
        <v>1.7786332147470945</v>
      </c>
    </row>
    <row r="1958" spans="1:2" x14ac:dyDescent="0.3">
      <c r="A1958" s="11">
        <v>95.699999999998198</v>
      </c>
      <c r="B1958" s="11">
        <f t="shared" si="32"/>
        <v>1.7749311039557503</v>
      </c>
    </row>
    <row r="1959" spans="1:2" x14ac:dyDescent="0.3">
      <c r="A1959" s="11">
        <v>95.749999999998195</v>
      </c>
      <c r="B1959" s="11">
        <f t="shared" si="32"/>
        <v>1.7712386202389361</v>
      </c>
    </row>
    <row r="1960" spans="1:2" x14ac:dyDescent="0.3">
      <c r="A1960" s="11">
        <v>95.799999999998207</v>
      </c>
      <c r="B1960" s="11">
        <f t="shared" si="32"/>
        <v>1.7675557335709959</v>
      </c>
    </row>
    <row r="1961" spans="1:2" x14ac:dyDescent="0.3">
      <c r="A1961" s="11">
        <v>95.849999999998204</v>
      </c>
      <c r="B1961" s="11">
        <f t="shared" si="32"/>
        <v>1.7638824140354443</v>
      </c>
    </row>
    <row r="1962" spans="1:2" x14ac:dyDescent="0.3">
      <c r="A1962" s="11">
        <v>95.899999999998201</v>
      </c>
      <c r="B1962" s="11">
        <f t="shared" si="32"/>
        <v>1.760218631824592</v>
      </c>
    </row>
    <row r="1963" spans="1:2" x14ac:dyDescent="0.3">
      <c r="A1963" s="11">
        <v>95.949999999998198</v>
      </c>
      <c r="B1963" s="11">
        <f t="shared" si="32"/>
        <v>1.7565643572389933</v>
      </c>
    </row>
    <row r="1964" spans="1:2" x14ac:dyDescent="0.3">
      <c r="A1964" s="11">
        <v>95.999999999998195</v>
      </c>
      <c r="B1964" s="11">
        <f t="shared" si="32"/>
        <v>1.7529195606870809</v>
      </c>
    </row>
    <row r="1965" spans="1:2" x14ac:dyDescent="0.3">
      <c r="A1965" s="11">
        <v>96.049999999998207</v>
      </c>
      <c r="B1965" s="11">
        <f t="shared" si="32"/>
        <v>1.7492842126846626</v>
      </c>
    </row>
    <row r="1966" spans="1:2" x14ac:dyDescent="0.3">
      <c r="A1966" s="11">
        <v>96.099999999998204</v>
      </c>
      <c r="B1966" s="11">
        <f t="shared" ref="B1966:B2029" si="33">374200000/(A1966^5*(EXP(14390/(A1966*Temperature))-1))</f>
        <v>1.7456582838545018</v>
      </c>
    </row>
    <row r="1967" spans="1:2" x14ac:dyDescent="0.3">
      <c r="A1967" s="11">
        <v>96.149999999998201</v>
      </c>
      <c r="B1967" s="11">
        <f t="shared" si="33"/>
        <v>1.7420417449258596</v>
      </c>
    </row>
    <row r="1968" spans="1:2" x14ac:dyDescent="0.3">
      <c r="A1968" s="11">
        <v>96.199999999998198</v>
      </c>
      <c r="B1968" s="11">
        <f t="shared" si="33"/>
        <v>1.7384345667340653</v>
      </c>
    </row>
    <row r="1969" spans="1:2" x14ac:dyDescent="0.3">
      <c r="A1969" s="11">
        <v>96.249999999998195</v>
      </c>
      <c r="B1969" s="11">
        <f t="shared" si="33"/>
        <v>1.7348367202201083</v>
      </c>
    </row>
    <row r="1970" spans="1:2" x14ac:dyDescent="0.3">
      <c r="A1970" s="11">
        <v>96.299999999998207</v>
      </c>
      <c r="B1970" s="11">
        <f t="shared" si="33"/>
        <v>1.7312481764300931</v>
      </c>
    </row>
    <row r="1971" spans="1:2" x14ac:dyDescent="0.3">
      <c r="A1971" s="11">
        <v>96.349999999998204</v>
      </c>
      <c r="B1971" s="11">
        <f t="shared" si="33"/>
        <v>1.7276689065149748</v>
      </c>
    </row>
    <row r="1972" spans="1:2" x14ac:dyDescent="0.3">
      <c r="A1972" s="11">
        <v>96.399999999998201</v>
      </c>
      <c r="B1972" s="11">
        <f t="shared" si="33"/>
        <v>1.7240988817299352</v>
      </c>
    </row>
    <row r="1973" spans="1:2" x14ac:dyDescent="0.3">
      <c r="A1973" s="11">
        <v>96.449999999998198</v>
      </c>
      <c r="B1973" s="11">
        <f t="shared" si="33"/>
        <v>1.7205380734341087</v>
      </c>
    </row>
    <row r="1974" spans="1:2" x14ac:dyDescent="0.3">
      <c r="A1974" s="11">
        <v>96.499999999998195</v>
      </c>
      <c r="B1974" s="11">
        <f t="shared" si="33"/>
        <v>1.7169864530900845</v>
      </c>
    </row>
    <row r="1975" spans="1:2" x14ac:dyDescent="0.3">
      <c r="A1975" s="11">
        <v>96.549999999998207</v>
      </c>
      <c r="B1975" s="11">
        <f t="shared" si="33"/>
        <v>1.7134439922634612</v>
      </c>
    </row>
    <row r="1976" spans="1:2" x14ac:dyDescent="0.3">
      <c r="A1976" s="11">
        <v>96.599999999998104</v>
      </c>
      <c r="B1976" s="11">
        <f t="shared" si="33"/>
        <v>1.709910662622478</v>
      </c>
    </row>
    <row r="1977" spans="1:2" x14ac:dyDescent="0.3">
      <c r="A1977" s="11">
        <v>96.649999999998101</v>
      </c>
      <c r="B1977" s="11">
        <f t="shared" si="33"/>
        <v>1.7063864359375169</v>
      </c>
    </row>
    <row r="1978" spans="1:2" x14ac:dyDescent="0.3">
      <c r="A1978" s="11">
        <v>96.699999999998198</v>
      </c>
      <c r="B1978" s="11">
        <f t="shared" si="33"/>
        <v>1.7028712840807785</v>
      </c>
    </row>
    <row r="1979" spans="1:2" x14ac:dyDescent="0.3">
      <c r="A1979" s="11">
        <v>96.749999999998195</v>
      </c>
      <c r="B1979" s="11">
        <f t="shared" si="33"/>
        <v>1.6993651790257835</v>
      </c>
    </row>
    <row r="1980" spans="1:2" x14ac:dyDescent="0.3">
      <c r="A1980" s="11">
        <v>96.799999999998207</v>
      </c>
      <c r="B1980" s="11">
        <f t="shared" si="33"/>
        <v>1.6958680928469867</v>
      </c>
    </row>
    <row r="1981" spans="1:2" x14ac:dyDescent="0.3">
      <c r="A1981" s="11">
        <v>96.849999999998104</v>
      </c>
      <c r="B1981" s="11">
        <f t="shared" si="33"/>
        <v>1.6923799977193597</v>
      </c>
    </row>
    <row r="1982" spans="1:2" x14ac:dyDescent="0.3">
      <c r="A1982" s="11">
        <v>96.899999999998101</v>
      </c>
      <c r="B1982" s="11">
        <f t="shared" si="33"/>
        <v>1.688900865917949</v>
      </c>
    </row>
    <row r="1983" spans="1:2" x14ac:dyDescent="0.3">
      <c r="A1983" s="11">
        <v>96.949999999998099</v>
      </c>
      <c r="B1983" s="11">
        <f t="shared" si="33"/>
        <v>1.6854306698175414</v>
      </c>
    </row>
    <row r="1984" spans="1:2" x14ac:dyDescent="0.3">
      <c r="A1984" s="11">
        <v>96.999999999998096</v>
      </c>
      <c r="B1984" s="11">
        <f t="shared" si="33"/>
        <v>1.6819693818921533</v>
      </c>
    </row>
    <row r="1985" spans="1:2" x14ac:dyDescent="0.3">
      <c r="A1985" s="11">
        <v>97.049999999998207</v>
      </c>
      <c r="B1985" s="11">
        <f t="shared" si="33"/>
        <v>1.6785169747147159</v>
      </c>
    </row>
    <row r="1986" spans="1:2" x14ac:dyDescent="0.3">
      <c r="A1986" s="11">
        <v>97.099999999998104</v>
      </c>
      <c r="B1986" s="11">
        <f t="shared" si="33"/>
        <v>1.6750734209566214</v>
      </c>
    </row>
    <row r="1987" spans="1:2" x14ac:dyDescent="0.3">
      <c r="A1987" s="11">
        <v>97.149999999998101</v>
      </c>
      <c r="B1987" s="11">
        <f t="shared" si="33"/>
        <v>1.6716386933872776</v>
      </c>
    </row>
    <row r="1988" spans="1:2" x14ac:dyDescent="0.3">
      <c r="A1988" s="11">
        <v>97.199999999998099</v>
      </c>
      <c r="B1988" s="11">
        <f t="shared" si="33"/>
        <v>1.6682127648738152</v>
      </c>
    </row>
    <row r="1989" spans="1:2" x14ac:dyDescent="0.3">
      <c r="A1989" s="11">
        <v>97.249999999998096</v>
      </c>
      <c r="B1989" s="11">
        <f t="shared" si="33"/>
        <v>1.6647956083806112</v>
      </c>
    </row>
    <row r="1990" spans="1:2" x14ac:dyDescent="0.3">
      <c r="A1990" s="11">
        <v>97.299999999998093</v>
      </c>
      <c r="B1990" s="11">
        <f t="shared" si="33"/>
        <v>1.6613871969688723</v>
      </c>
    </row>
    <row r="1991" spans="1:2" x14ac:dyDescent="0.3">
      <c r="A1991" s="11">
        <v>97.349999999998104</v>
      </c>
      <c r="B1991" s="11">
        <f t="shared" si="33"/>
        <v>1.6579875037963041</v>
      </c>
    </row>
    <row r="1992" spans="1:2" x14ac:dyDescent="0.3">
      <c r="A1992" s="11">
        <v>97.399999999998101</v>
      </c>
      <c r="B1992" s="11">
        <f t="shared" si="33"/>
        <v>1.6545965021166862</v>
      </c>
    </row>
    <row r="1993" spans="1:2" x14ac:dyDescent="0.3">
      <c r="A1993" s="11">
        <v>97.449999999998099</v>
      </c>
      <c r="B1993" s="11">
        <f t="shared" si="33"/>
        <v>1.6512141652794621</v>
      </c>
    </row>
    <row r="1994" spans="1:2" x14ac:dyDescent="0.3">
      <c r="A1994" s="11">
        <v>97.499999999998096</v>
      </c>
      <c r="B1994" s="11">
        <f t="shared" si="33"/>
        <v>1.6478404667293736</v>
      </c>
    </row>
    <row r="1995" spans="1:2" x14ac:dyDescent="0.3">
      <c r="A1995" s="11">
        <v>97.549999999998093</v>
      </c>
      <c r="B1995" s="11">
        <f t="shared" si="33"/>
        <v>1.6444753800060516</v>
      </c>
    </row>
    <row r="1996" spans="1:2" x14ac:dyDescent="0.3">
      <c r="A1996" s="11">
        <v>97.599999999998104</v>
      </c>
      <c r="B1996" s="11">
        <f t="shared" si="33"/>
        <v>1.6411188787436468</v>
      </c>
    </row>
    <row r="1997" spans="1:2" x14ac:dyDescent="0.3">
      <c r="A1997" s="11">
        <v>97.649999999998101</v>
      </c>
      <c r="B1997" s="11">
        <f t="shared" si="33"/>
        <v>1.63777093667044</v>
      </c>
    </row>
    <row r="1998" spans="1:2" x14ac:dyDescent="0.3">
      <c r="A1998" s="11">
        <v>97.699999999998099</v>
      </c>
      <c r="B1998" s="11">
        <f t="shared" si="33"/>
        <v>1.6344315276084471</v>
      </c>
    </row>
    <row r="1999" spans="1:2" x14ac:dyDescent="0.3">
      <c r="A1999" s="11">
        <v>97.749999999998096</v>
      </c>
      <c r="B1999" s="11">
        <f t="shared" si="33"/>
        <v>1.6311006254730593</v>
      </c>
    </row>
    <row r="2000" spans="1:2" x14ac:dyDescent="0.3">
      <c r="A2000" s="11">
        <v>97.799999999998093</v>
      </c>
      <c r="B2000" s="11">
        <f t="shared" si="33"/>
        <v>1.6277782042726134</v>
      </c>
    </row>
    <row r="2001" spans="1:2" x14ac:dyDescent="0.3">
      <c r="A2001" s="11">
        <v>97.849999999998104</v>
      </c>
      <c r="B2001" s="11">
        <f t="shared" si="33"/>
        <v>1.6244642381080765</v>
      </c>
    </row>
    <row r="2002" spans="1:2" x14ac:dyDescent="0.3">
      <c r="A2002" s="11">
        <v>97.899999999998101</v>
      </c>
      <c r="B2002" s="11">
        <f t="shared" si="33"/>
        <v>1.6211587011726487</v>
      </c>
    </row>
    <row r="2003" spans="1:2" x14ac:dyDescent="0.3">
      <c r="A2003" s="11">
        <v>97.949999999998099</v>
      </c>
      <c r="B2003" s="11">
        <f t="shared" si="33"/>
        <v>1.6178615677513499</v>
      </c>
    </row>
    <row r="2004" spans="1:2" x14ac:dyDescent="0.3">
      <c r="A2004" s="11">
        <v>97.999999999998096</v>
      </c>
      <c r="B2004" s="11">
        <f t="shared" si="33"/>
        <v>1.6145728122206986</v>
      </c>
    </row>
    <row r="2005" spans="1:2" x14ac:dyDescent="0.3">
      <c r="A2005" s="11">
        <v>98.049999999998093</v>
      </c>
      <c r="B2005" s="11">
        <f t="shared" si="33"/>
        <v>1.6112924090483143</v>
      </c>
    </row>
    <row r="2006" spans="1:2" x14ac:dyDescent="0.3">
      <c r="A2006" s="11">
        <v>98.099999999998104</v>
      </c>
      <c r="B2006" s="11">
        <f t="shared" si="33"/>
        <v>1.6080203327925462</v>
      </c>
    </row>
    <row r="2007" spans="1:2" x14ac:dyDescent="0.3">
      <c r="A2007" s="11">
        <v>98.149999999998101</v>
      </c>
      <c r="B2007" s="11">
        <f t="shared" si="33"/>
        <v>1.6047565581020942</v>
      </c>
    </row>
    <row r="2008" spans="1:2" x14ac:dyDescent="0.3">
      <c r="A2008" s="11">
        <v>98.199999999998099</v>
      </c>
      <c r="B2008" s="11">
        <f t="shared" si="33"/>
        <v>1.6015010597156913</v>
      </c>
    </row>
    <row r="2009" spans="1:2" x14ac:dyDescent="0.3">
      <c r="A2009" s="11">
        <v>98.249999999998096</v>
      </c>
      <c r="B2009" s="11">
        <f t="shared" si="33"/>
        <v>1.5982538124616767</v>
      </c>
    </row>
    <row r="2010" spans="1:2" x14ac:dyDescent="0.3">
      <c r="A2010" s="11">
        <v>98.299999999998093</v>
      </c>
      <c r="B2010" s="11">
        <f t="shared" si="33"/>
        <v>1.5950147912576804</v>
      </c>
    </row>
    <row r="2011" spans="1:2" x14ac:dyDescent="0.3">
      <c r="A2011" s="11">
        <v>98.349999999998104</v>
      </c>
      <c r="B2011" s="11">
        <f t="shared" si="33"/>
        <v>1.5917839711102388</v>
      </c>
    </row>
    <row r="2012" spans="1:2" x14ac:dyDescent="0.3">
      <c r="A2012" s="11">
        <v>98.399999999998101</v>
      </c>
      <c r="B2012" s="11">
        <f t="shared" si="33"/>
        <v>1.5885613271144217</v>
      </c>
    </row>
    <row r="2013" spans="1:2" x14ac:dyDescent="0.3">
      <c r="A2013" s="11">
        <v>98.449999999998099</v>
      </c>
      <c r="B2013" s="11">
        <f t="shared" si="33"/>
        <v>1.585346834453498</v>
      </c>
    </row>
    <row r="2014" spans="1:2" x14ac:dyDescent="0.3">
      <c r="A2014" s="11">
        <v>98.499999999998096</v>
      </c>
      <c r="B2014" s="11">
        <f t="shared" si="33"/>
        <v>1.582140468398592</v>
      </c>
    </row>
    <row r="2015" spans="1:2" x14ac:dyDescent="0.3">
      <c r="A2015" s="11">
        <v>98.549999999998093</v>
      </c>
      <c r="B2015" s="11">
        <f t="shared" si="33"/>
        <v>1.5789422043082797</v>
      </c>
    </row>
    <row r="2016" spans="1:2" x14ac:dyDescent="0.3">
      <c r="A2016" s="11">
        <v>98.599999999998104</v>
      </c>
      <c r="B2016" s="11">
        <f t="shared" si="33"/>
        <v>1.5757520176282667</v>
      </c>
    </row>
    <row r="2017" spans="1:2" x14ac:dyDescent="0.3">
      <c r="A2017" s="11">
        <v>98.649999999998101</v>
      </c>
      <c r="B2017" s="11">
        <f t="shared" si="33"/>
        <v>1.572569883891036</v>
      </c>
    </row>
    <row r="2018" spans="1:2" x14ac:dyDescent="0.3">
      <c r="A2018" s="11">
        <v>98.699999999998099</v>
      </c>
      <c r="B2018" s="11">
        <f t="shared" si="33"/>
        <v>1.5693957787155111</v>
      </c>
    </row>
    <row r="2019" spans="1:2" x14ac:dyDescent="0.3">
      <c r="A2019" s="11">
        <v>98.749999999998096</v>
      </c>
      <c r="B2019" s="11">
        <f t="shared" si="33"/>
        <v>1.566229677806676</v>
      </c>
    </row>
    <row r="2020" spans="1:2" x14ac:dyDescent="0.3">
      <c r="A2020" s="11">
        <v>98.799999999998093</v>
      </c>
      <c r="B2020" s="11">
        <f t="shared" si="33"/>
        <v>1.5630715569552363</v>
      </c>
    </row>
    <row r="2021" spans="1:2" x14ac:dyDescent="0.3">
      <c r="A2021" s="11">
        <v>98.849999999998104</v>
      </c>
      <c r="B2021" s="11">
        <f t="shared" si="33"/>
        <v>1.5599213920372796</v>
      </c>
    </row>
    <row r="2022" spans="1:2" x14ac:dyDescent="0.3">
      <c r="A2022" s="11">
        <v>98.899999999998101</v>
      </c>
      <c r="B2022" s="11">
        <f t="shared" si="33"/>
        <v>1.5567791590139539</v>
      </c>
    </row>
    <row r="2023" spans="1:2" x14ac:dyDescent="0.3">
      <c r="A2023" s="11">
        <v>98.949999999998099</v>
      </c>
      <c r="B2023" s="11">
        <f t="shared" si="33"/>
        <v>1.5536448339310873</v>
      </c>
    </row>
    <row r="2024" spans="1:2" x14ac:dyDescent="0.3">
      <c r="A2024" s="11">
        <v>98.999999999998096</v>
      </c>
      <c r="B2024" s="11">
        <f t="shared" si="33"/>
        <v>1.5505183929188708</v>
      </c>
    </row>
    <row r="2025" spans="1:2" x14ac:dyDescent="0.3">
      <c r="A2025" s="11">
        <v>99.049999999998093</v>
      </c>
      <c r="B2025" s="11">
        <f t="shared" si="33"/>
        <v>1.547399812191472</v>
      </c>
    </row>
    <row r="2026" spans="1:2" x14ac:dyDescent="0.3">
      <c r="A2026" s="11">
        <v>99.099999999998104</v>
      </c>
      <c r="B2026" s="11">
        <f t="shared" si="33"/>
        <v>1.5442890680468093</v>
      </c>
    </row>
    <row r="2027" spans="1:2" x14ac:dyDescent="0.3">
      <c r="A2027" s="11">
        <v>99.149999999998101</v>
      </c>
      <c r="B2027" s="11">
        <f t="shared" si="33"/>
        <v>1.5411861368660815</v>
      </c>
    </row>
    <row r="2028" spans="1:2" x14ac:dyDescent="0.3">
      <c r="A2028" s="11">
        <v>99.199999999998099</v>
      </c>
      <c r="B2028" s="11">
        <f t="shared" si="33"/>
        <v>1.5380909951135115</v>
      </c>
    </row>
    <row r="2029" spans="1:2" x14ac:dyDescent="0.3">
      <c r="A2029" s="11">
        <v>99.249999999998096</v>
      </c>
      <c r="B2029" s="11">
        <f t="shared" si="33"/>
        <v>1.5350036193360133</v>
      </c>
    </row>
    <row r="2030" spans="1:2" x14ac:dyDescent="0.3">
      <c r="A2030" s="11">
        <v>99.299999999998093</v>
      </c>
      <c r="B2030" s="11">
        <f t="shared" ref="B2030:B2044" si="34">374200000/(A2030^5*(EXP(14390/(A2030*Temperature))-1))</f>
        <v>1.5319239861628371</v>
      </c>
    </row>
    <row r="2031" spans="1:2" x14ac:dyDescent="0.3">
      <c r="A2031" s="11">
        <v>99.349999999998104</v>
      </c>
      <c r="B2031" s="11">
        <f t="shared" si="34"/>
        <v>1.5288520723052073</v>
      </c>
    </row>
    <row r="2032" spans="1:2" x14ac:dyDescent="0.3">
      <c r="A2032" s="11">
        <v>99.399999999998101</v>
      </c>
      <c r="B2032" s="11">
        <f t="shared" si="34"/>
        <v>1.5257878545560843</v>
      </c>
    </row>
    <row r="2033" spans="1:2" x14ac:dyDescent="0.3">
      <c r="A2033" s="11">
        <v>99.449999999998099</v>
      </c>
      <c r="B2033" s="11">
        <f t="shared" si="34"/>
        <v>1.5227313097897699</v>
      </c>
    </row>
    <row r="2034" spans="1:2" x14ac:dyDescent="0.3">
      <c r="A2034" s="11">
        <v>99.499999999998096</v>
      </c>
      <c r="B2034" s="11">
        <f t="shared" si="34"/>
        <v>1.5196824149615684</v>
      </c>
    </row>
    <row r="2035" spans="1:2" x14ac:dyDescent="0.3">
      <c r="A2035" s="11">
        <v>99.549999999998093</v>
      </c>
      <c r="B2035" s="11">
        <f t="shared" si="34"/>
        <v>1.5166411471075205</v>
      </c>
    </row>
    <row r="2036" spans="1:2" x14ac:dyDescent="0.3">
      <c r="A2036" s="11">
        <v>99.599999999998104</v>
      </c>
      <c r="B2036" s="11">
        <f t="shared" si="34"/>
        <v>1.5136074833440334</v>
      </c>
    </row>
    <row r="2037" spans="1:2" x14ac:dyDescent="0.3">
      <c r="A2037" s="11">
        <v>99.649999999998101</v>
      </c>
      <c r="B2037" s="11">
        <f t="shared" si="34"/>
        <v>1.5105814008675824</v>
      </c>
    </row>
    <row r="2038" spans="1:2" x14ac:dyDescent="0.3">
      <c r="A2038" s="11">
        <v>99.699999999998099</v>
      </c>
      <c r="B2038" s="11">
        <f t="shared" si="34"/>
        <v>1.5075628769543827</v>
      </c>
    </row>
    <row r="2039" spans="1:2" x14ac:dyDescent="0.3">
      <c r="A2039" s="11">
        <v>99.749999999998096</v>
      </c>
      <c r="B2039" s="11">
        <f t="shared" si="34"/>
        <v>1.5045518889600904</v>
      </c>
    </row>
    <row r="2040" spans="1:2" x14ac:dyDescent="0.3">
      <c r="A2040" s="11">
        <v>99.799999999998093</v>
      </c>
      <c r="B2040" s="11">
        <f t="shared" si="34"/>
        <v>1.5015484143194155</v>
      </c>
    </row>
    <row r="2041" spans="1:2" x14ac:dyDescent="0.3">
      <c r="A2041" s="11">
        <v>99.849999999998104</v>
      </c>
      <c r="B2041" s="11">
        <f t="shared" si="34"/>
        <v>1.4985524305459175</v>
      </c>
    </row>
    <row r="2042" spans="1:2" x14ac:dyDescent="0.3">
      <c r="A2042" s="11">
        <v>99.899999999998101</v>
      </c>
      <c r="B2042" s="11">
        <f t="shared" si="34"/>
        <v>1.4955639152315958</v>
      </c>
    </row>
    <row r="2043" spans="1:2" x14ac:dyDescent="0.3">
      <c r="A2043" s="11">
        <v>99.949999999998099</v>
      </c>
      <c r="B2043" s="11">
        <f t="shared" si="34"/>
        <v>1.4925828460466311</v>
      </c>
    </row>
    <row r="2044" spans="1:2" x14ac:dyDescent="0.3">
      <c r="A2044" s="11">
        <v>99.999999999998096</v>
      </c>
      <c r="B2044" s="11">
        <f t="shared" si="34"/>
        <v>1.4896092007390596</v>
      </c>
    </row>
  </sheetData>
  <sheetProtection algorithmName="SHA-512" hashValue="7wFr1seD5qqNfVnxxlthhTCvtndnGA4LFQO+JLJEjKk6K1qwNgy9oeOWqlLASnAkKSL0+JXqM1l7+lC+sw6YYQ==" saltValue="jUBe8Cv2guAgkrp7ChFIGg==" spinCount="100000" sheet="1" formatCells="0" formatColumns="0" formatRows="0"/>
  <mergeCells count="8">
    <mergeCell ref="O27:P27"/>
    <mergeCell ref="L21:S23"/>
    <mergeCell ref="M19:N19"/>
    <mergeCell ref="A1:J1"/>
    <mergeCell ref="M9:N9"/>
    <mergeCell ref="M11:N11"/>
    <mergeCell ref="M13:N13"/>
    <mergeCell ref="M17:N1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mdIntegrate_Click">
          <controlPr defaultSize="0" autoLine="0" r:id="rId5">
            <anchor moveWithCells="1">
              <from>
                <xdr:col>14</xdr:col>
                <xdr:colOff>91440</xdr:colOff>
                <xdr:row>23</xdr:row>
                <xdr:rowOff>38100</xdr:rowOff>
              </from>
              <to>
                <xdr:col>15</xdr:col>
                <xdr:colOff>563880</xdr:colOff>
                <xdr:row>25</xdr:row>
                <xdr:rowOff>144780</xdr:rowOff>
              </to>
            </anchor>
          </controlPr>
        </control>
      </mc:Choice>
      <mc:Fallback>
        <control shapeId="1052" r:id="rId4" name="cmdIntegrate_Click"/>
      </mc:Fallback>
    </mc:AlternateContent>
    <mc:AlternateContent xmlns:mc="http://schemas.openxmlformats.org/markup-compatibility/2006">
      <mc:Choice Requires="x14">
        <control shapeId="1050" r:id="rId6" name="ScrollBar3">
          <controlPr defaultSize="0" autoLine="0" linkedCell="P13" r:id="rId7">
            <anchor moveWithCells="1">
              <from>
                <xdr:col>10</xdr:col>
                <xdr:colOff>160020</xdr:colOff>
                <xdr:row>11</xdr:row>
                <xdr:rowOff>160020</xdr:rowOff>
              </from>
              <to>
                <xdr:col>11</xdr:col>
                <xdr:colOff>472440</xdr:colOff>
                <xdr:row>13</xdr:row>
                <xdr:rowOff>22860</xdr:rowOff>
              </to>
            </anchor>
          </controlPr>
        </control>
      </mc:Choice>
      <mc:Fallback>
        <control shapeId="1050" r:id="rId6" name="ScrollBar3"/>
      </mc:Fallback>
    </mc:AlternateContent>
    <mc:AlternateContent xmlns:mc="http://schemas.openxmlformats.org/markup-compatibility/2006">
      <mc:Choice Requires="x14">
        <control shapeId="1048" r:id="rId8" name="ScrollBar2">
          <controlPr defaultSize="0" autoLine="0" linkedCell="P11" r:id="rId9">
            <anchor moveWithCells="1">
              <from>
                <xdr:col>10</xdr:col>
                <xdr:colOff>160020</xdr:colOff>
                <xdr:row>9</xdr:row>
                <xdr:rowOff>152400</xdr:rowOff>
              </from>
              <to>
                <xdr:col>11</xdr:col>
                <xdr:colOff>472440</xdr:colOff>
                <xdr:row>10</xdr:row>
                <xdr:rowOff>182880</xdr:rowOff>
              </to>
            </anchor>
          </controlPr>
        </control>
      </mc:Choice>
      <mc:Fallback>
        <control shapeId="1048" r:id="rId8" name="ScrollBar2"/>
      </mc:Fallback>
    </mc:AlternateContent>
    <mc:AlternateContent xmlns:mc="http://schemas.openxmlformats.org/markup-compatibility/2006">
      <mc:Choice Requires="x14">
        <control shapeId="1046" r:id="rId10" name="ScrollBar1">
          <controlPr defaultSize="0" autoLine="0" linkedCell="P9" r:id="rId11">
            <anchor moveWithCells="1">
              <from>
                <xdr:col>10</xdr:col>
                <xdr:colOff>152400</xdr:colOff>
                <xdr:row>8</xdr:row>
                <xdr:rowOff>7620</xdr:rowOff>
              </from>
              <to>
                <xdr:col>11</xdr:col>
                <xdr:colOff>464820</xdr:colOff>
                <xdr:row>9</xdr:row>
                <xdr:rowOff>22860</xdr:rowOff>
              </to>
            </anchor>
          </controlPr>
        </control>
      </mc:Choice>
      <mc:Fallback>
        <control shapeId="1046" r:id="rId10" name="ScrollBar1"/>
      </mc:Fallback>
    </mc:AlternateContent>
    <mc:AlternateContent xmlns:mc="http://schemas.openxmlformats.org/markup-compatibility/2006">
      <mc:Choice Requires="x14">
        <control shapeId="1062" r:id="rId12" name="Check Box 38">
          <controlPr defaultSize="0" autoFill="0" autoLine="0" autoPict="0">
            <anchor moveWithCells="1">
              <from>
                <xdr:col>24</xdr:col>
                <xdr:colOff>525780</xdr:colOff>
                <xdr:row>27</xdr:row>
                <xdr:rowOff>45720</xdr:rowOff>
              </from>
              <to>
                <xdr:col>26</xdr:col>
                <xdr:colOff>160020</xdr:colOff>
                <xdr:row>28</xdr:row>
                <xdr:rowOff>91440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Mainsheet</vt:lpstr>
      <vt:lpstr>Integral</vt:lpstr>
      <vt:lpstr>LowerLim</vt:lpstr>
      <vt:lpstr>Peak</vt:lpstr>
      <vt:lpstr>Temperature</vt:lpstr>
      <vt:lpstr>UpperLim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Alpish</dc:creator>
  <cp:lastModifiedBy>Alpish</cp:lastModifiedBy>
  <dcterms:created xsi:type="dcterms:W3CDTF">2019-06-20T14:28:21Z</dcterms:created>
  <dcterms:modified xsi:type="dcterms:W3CDTF">2019-06-23T07:47:28Z</dcterms:modified>
</cp:coreProperties>
</file>